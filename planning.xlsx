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ramètres" sheetId="1" r:id="rId4"/>
    <sheet state="visible" name="J1 - 18 sept" sheetId="2" r:id="rId5"/>
    <sheet state="visible" name="J2 - 19 sept" sheetId="3" r:id="rId6"/>
    <sheet state="visible" name="Vue par personne" sheetId="4" r:id="rId7"/>
    <sheet state="visible" name="Fiche individuelle" sheetId="5" r:id="rId8"/>
  </sheets>
  <definedNames>
    <definedName name="Effectif_Noms">'Paramètres'!$B$15:$B$45</definedName>
    <definedName name="Equipes_Liste">'Paramètres'!$B$6:$B$10</definedName>
  </definedNames>
  <calcPr/>
  <extLst>
    <ext uri="GoogleSheetsCustomDataVersion2">
      <go:sheetsCustomData xmlns:go="http://customooxmlschemas.google.com/" r:id="rId9" roundtripDataChecksum="9TLix+p27APwPhUy4fOsD/LoLLzkgmYMkif1ZyRy+nA="/>
    </ext>
  </extLst>
</workbook>
</file>

<file path=xl/sharedStrings.xml><?xml version="1.0" encoding="utf-8"?>
<sst xmlns="http://schemas.openxmlformats.org/spreadsheetml/2006/main" count="90" uniqueCount="72">
  <si>
    <t>ÉQUIPES</t>
  </si>
  <si>
    <t>CRÉNEAUX H24</t>
  </si>
  <si>
    <t>Équipe 1</t>
  </si>
  <si>
    <t>00h–02h</t>
  </si>
  <si>
    <t>Équipe 2</t>
  </si>
  <si>
    <t>02h–04h</t>
  </si>
  <si>
    <t>Équipe 3</t>
  </si>
  <si>
    <t>04h–06h</t>
  </si>
  <si>
    <t>Équipe 4</t>
  </si>
  <si>
    <t>06h–08h</t>
  </si>
  <si>
    <t>Équipe 5</t>
  </si>
  <si>
    <t>08h–10h</t>
  </si>
  <si>
    <t>10h–12h</t>
  </si>
  <si>
    <t>12h–14h</t>
  </si>
  <si>
    <t xml:space="preserve">STAFF </t>
  </si>
  <si>
    <t>14h–16h</t>
  </si>
  <si>
    <t>Nom</t>
  </si>
  <si>
    <t>Équipe</t>
  </si>
  <si>
    <t>Téléphone</t>
  </si>
  <si>
    <t>16h–18h</t>
  </si>
  <si>
    <t>Aurélien</t>
  </si>
  <si>
    <t>18h–20h</t>
  </si>
  <si>
    <t>Colombe</t>
  </si>
  <si>
    <t>20h–22h</t>
  </si>
  <si>
    <t>Léa</t>
  </si>
  <si>
    <t>22h–00h</t>
  </si>
  <si>
    <t>Maelle</t>
  </si>
  <si>
    <t>Marilyne</t>
  </si>
  <si>
    <t>Zoé</t>
  </si>
  <si>
    <t>Adrien</t>
  </si>
  <si>
    <t>Lucien</t>
  </si>
  <si>
    <t>Amélie</t>
  </si>
  <si>
    <t>Marthe</t>
  </si>
  <si>
    <t>Benoit</t>
  </si>
  <si>
    <t>Camille</t>
  </si>
  <si>
    <t>Célie</t>
  </si>
  <si>
    <t>Gatien</t>
  </si>
  <si>
    <t>Léna</t>
  </si>
  <si>
    <t>Louis</t>
  </si>
  <si>
    <t>Malia</t>
  </si>
  <si>
    <t>Nathan</t>
  </si>
  <si>
    <t>Samuel</t>
  </si>
  <si>
    <t>Teddy</t>
  </si>
  <si>
    <t>Macéo</t>
  </si>
  <si>
    <t>Blanche</t>
  </si>
  <si>
    <t>Léo-Paul</t>
  </si>
  <si>
    <t>Ulysse</t>
  </si>
  <si>
    <t xml:space="preserve">VENDREDI 18 SEPTEMBRE 2026  </t>
  </si>
  <si>
    <t>POSTE</t>
  </si>
  <si>
    <t>N°</t>
  </si>
  <si>
    <t>EDHEC</t>
  </si>
  <si>
    <t>Poste 2</t>
  </si>
  <si>
    <t>Poste 3</t>
  </si>
  <si>
    <t xml:space="preserve">SECU </t>
  </si>
  <si>
    <t xml:space="preserve">PLAINE </t>
  </si>
  <si>
    <t>REPOS</t>
  </si>
  <si>
    <t>Effectif placé / créneau</t>
  </si>
  <si>
    <t xml:space="preserve">SAMEDI 19 SEPTEMBRE 2026  </t>
  </si>
  <si>
    <t>Poste 1</t>
  </si>
  <si>
    <t>Poste 4</t>
  </si>
  <si>
    <t>Poste 5</t>
  </si>
  <si>
    <t>Poste 6</t>
  </si>
  <si>
    <t xml:space="preserve">VUE PAR PERSONNE </t>
  </si>
  <si>
    <t>VENDREDI 18 SEPT</t>
  </si>
  <si>
    <t>SAMEDI 19 SEPT</t>
  </si>
  <si>
    <t>FICHE INDIVIDUELLE</t>
  </si>
  <si>
    <t>Ton nom :</t>
  </si>
  <si>
    <t>Équipe :</t>
  </si>
  <si>
    <t>Téléphone :</t>
  </si>
  <si>
    <t>Créneau</t>
  </si>
  <si>
    <t>Vendredi 18 sept</t>
  </si>
  <si>
    <t>Samedi 19 sept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</si>
</sst>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6.0"/>
      <color rgb="FF17365D"/>
      <name val="Arial"/>
    </font>
    <font>
      <i/>
      <sz val="10.0"/>
      <color rgb="FF6B5B95"/>
      <name val="Arial"/>
    </font>
    <font>
      <b/>
      <sz val="11.0"/>
      <color rgb="FFFFFFFF"/>
      <name val="Arial"/>
    </font>
    <font/>
    <font>
      <b/>
      <sz val="10.0"/>
      <color rgb="FF17365D"/>
      <name val="Arial"/>
    </font>
    <font>
      <i/>
      <sz val="8.0"/>
      <color rgb="FF6B5B95"/>
      <name val="Arial"/>
    </font>
    <font>
      <b/>
      <sz val="12.0"/>
      <color rgb="FF17365D"/>
      <name val="Arial"/>
    </font>
    <font>
      <b/>
      <sz val="10.0"/>
      <color rgb="FFFFFFFF"/>
      <name val="Arial"/>
    </font>
    <font>
      <sz val="10.0"/>
      <color rgb="FF0000FF"/>
      <name val="Arial"/>
    </font>
    <font>
      <sz val="10.0"/>
      <color rgb="FF000000"/>
      <name val="Arial"/>
    </font>
    <font>
      <color theme="1"/>
      <name val="Arial"/>
    </font>
    <font>
      <b/>
      <sz val="15.0"/>
      <color rgb="FF17365D"/>
      <name val="Arial"/>
    </font>
    <font>
      <b/>
      <sz val="10.0"/>
      <color rgb="FF2E1A47"/>
      <name val="Arial"/>
    </font>
    <font>
      <sz val="9.0"/>
      <color rgb="FF888888"/>
      <name val="Arial"/>
    </font>
    <font>
      <sz val="9.0"/>
      <color rgb="FF000000"/>
      <name val="Arial"/>
    </font>
    <font>
      <sz val="8.0"/>
      <color rgb="FFCCCCCC"/>
      <name val="Arial"/>
    </font>
    <font>
      <b/>
      <sz val="10.0"/>
      <color rgb="FF6B5B95"/>
      <name val="Arial"/>
    </font>
    <font>
      <sz val="11.0"/>
      <color theme="1"/>
      <name val="Calibri"/>
    </font>
    <font>
      <b/>
      <sz val="11.0"/>
      <color rgb="FF17365D"/>
      <name val="Arial"/>
    </font>
    <font>
      <b/>
      <sz val="9.0"/>
      <color rgb="FF2E1A47"/>
      <name val="Arial"/>
    </font>
    <font>
      <sz val="10.0"/>
      <color rgb="FF006100"/>
      <name val="Arial"/>
    </font>
    <font>
      <sz val="9.0"/>
      <color rgb="FF006100"/>
      <name val="Arial"/>
    </font>
    <font>
      <b/>
      <sz val="16.0"/>
      <color rgb="FF2E1A47"/>
      <name val="Arial"/>
    </font>
    <font>
      <b/>
      <sz val="11.0"/>
      <color rgb="FF2E1A47"/>
      <name val="Arial"/>
    </font>
    <font>
      <b/>
      <sz val="12.0"/>
      <color rgb="FF0000FF"/>
      <name val="Arial"/>
    </font>
    <font>
      <i/>
      <sz val="9.0"/>
      <color rgb="FF6B5B95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548DD4"/>
        <bgColor rgb="FF548DD4"/>
      </patternFill>
    </fill>
    <fill>
      <patternFill patternType="solid">
        <fgColor rgb="FF17365D"/>
        <bgColor rgb="FF17365D"/>
      </patternFill>
    </fill>
    <fill>
      <patternFill patternType="solid">
        <fgColor rgb="FF8DB3E2"/>
        <bgColor rgb="FF8DB3E2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B8CCE4"/>
        <bgColor rgb="FFB8CCE4"/>
      </patternFill>
    </fill>
    <fill>
      <patternFill patternType="solid">
        <fgColor rgb="FF1F497D"/>
        <bgColor rgb="FF1F497D"/>
      </patternFill>
    </fill>
    <fill>
      <patternFill patternType="solid">
        <fgColor rgb="FFDBE5F1"/>
        <bgColor rgb="FFDBE5F1"/>
      </patternFill>
    </fill>
    <fill>
      <patternFill patternType="solid">
        <fgColor rgb="FFF4EFE2"/>
        <bgColor rgb="FFF4EFE2"/>
      </patternFill>
    </fill>
  </fills>
  <borders count="12">
    <border/>
    <border>
      <left/>
      <top/>
      <bottom/>
    </border>
    <border>
      <right/>
      <top/>
      <bottom/>
    </border>
    <border>
      <left/>
      <right/>
      <top/>
      <bottom/>
    </border>
    <border>
      <left style="thin">
        <color rgb="FFBBBBBB"/>
      </left>
      <top style="thin">
        <color rgb="FFBBBBBB"/>
      </top>
      <bottom style="thin">
        <color rgb="FFBBBBBB"/>
      </bottom>
    </border>
    <border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medium">
        <color rgb="FF2E1A47"/>
      </left>
      <right style="thin">
        <color rgb="FFBBBBBB"/>
      </right>
      <top style="medium">
        <color rgb="FF2E1A47"/>
      </top>
    </border>
    <border>
      <left style="thin">
        <color rgb="FFBBBBBB"/>
      </left>
      <right style="thin">
        <color rgb="FFBBBBBB"/>
      </right>
      <top style="medium">
        <color rgb="FF2E1A47"/>
      </top>
      <bottom style="thin">
        <color rgb="FFBBBBBB"/>
      </bottom>
    </border>
    <border>
      <left style="medium">
        <color rgb="FF2E1A47"/>
      </left>
      <right style="thin">
        <color rgb="FFBBBBBB"/>
      </right>
    </border>
    <border>
      <left style="medium">
        <color rgb="FF2E1A47"/>
      </left>
      <right style="thin">
        <color rgb="FFBBBBBB"/>
      </right>
      <bottom/>
    </border>
    <border>
      <top/>
      <bottom/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5" fillId="0" fontId="4" numFmtId="0" xfId="0" applyBorder="1" applyFont="1"/>
    <xf borderId="6" fillId="0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left" vertical="center"/>
    </xf>
    <xf borderId="0" fillId="0" fontId="7" numFmtId="0" xfId="0" applyFont="1"/>
    <xf borderId="6" fillId="2" fontId="8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left" readingOrder="0" vertical="center"/>
    </xf>
    <xf borderId="6" fillId="0" fontId="10" numFmtId="0" xfId="0" applyAlignment="1" applyBorder="1" applyFont="1">
      <alignment horizontal="left" readingOrder="0" vertical="center"/>
    </xf>
    <xf borderId="6" fillId="0" fontId="10" numFmtId="0" xfId="0" applyAlignment="1" applyBorder="1" applyFont="1">
      <alignment horizontal="left" vertical="center"/>
    </xf>
    <xf borderId="0" fillId="0" fontId="6" numFmtId="0" xfId="0" applyAlignment="1" applyFont="1">
      <alignment horizontal="center" vertical="center"/>
    </xf>
    <xf borderId="0" fillId="0" fontId="11" numFmtId="0" xfId="0" applyAlignment="1" applyFont="1">
      <alignment vertical="bottom"/>
    </xf>
    <xf borderId="6" fillId="0" fontId="9" numFmtId="0" xfId="0" applyAlignment="1" applyBorder="1" applyFont="1">
      <alignment horizontal="left" vertical="center"/>
    </xf>
    <xf borderId="0" fillId="0" fontId="12" numFmtId="0" xfId="0" applyFont="1"/>
    <xf borderId="6" fillId="3" fontId="8" numFmtId="0" xfId="0" applyAlignment="1" applyBorder="1" applyFill="1" applyFont="1">
      <alignment horizontal="center" vertical="center"/>
    </xf>
    <xf borderId="6" fillId="4" fontId="8" numFmtId="0" xfId="0" applyAlignment="1" applyBorder="1" applyFill="1" applyFont="1">
      <alignment horizontal="center" vertical="center"/>
    </xf>
    <xf borderId="6" fillId="4" fontId="13" numFmtId="0" xfId="0" applyAlignment="1" applyBorder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readingOrder="0" shrinkToFit="0" vertical="center" wrapText="1"/>
    </xf>
    <xf borderId="8" fillId="5" fontId="14" numFmtId="0" xfId="0" applyAlignment="1" applyBorder="1" applyFont="1">
      <alignment horizontal="center" vertical="center"/>
    </xf>
    <xf borderId="8" fillId="5" fontId="15" numFmtId="0" xfId="0" applyAlignment="1" applyBorder="1" applyFont="1">
      <alignment horizontal="center" shrinkToFit="0" vertical="center" wrapText="1"/>
    </xf>
    <xf borderId="8" fillId="5" fontId="15" numFmtId="0" xfId="0" applyAlignment="1" applyBorder="1" applyFont="1">
      <alignment horizontal="center" readingOrder="0" shrinkToFit="0" vertical="center" wrapText="1"/>
    </xf>
    <xf borderId="0" fillId="0" fontId="16" numFmtId="0" xfId="0" applyFont="1"/>
    <xf borderId="9" fillId="0" fontId="4" numFmtId="0" xfId="0" applyBorder="1" applyFont="1"/>
    <xf borderId="6" fillId="5" fontId="14" numFmtId="0" xfId="0" applyAlignment="1" applyBorder="1" applyFont="1">
      <alignment horizontal="center" vertical="center"/>
    </xf>
    <xf borderId="6" fillId="5" fontId="15" numFmtId="0" xfId="0" applyAlignment="1" applyBorder="1" applyFont="1">
      <alignment horizontal="center" shrinkToFit="0" vertical="center" wrapText="1"/>
    </xf>
    <xf borderId="6" fillId="5" fontId="15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7" fillId="6" fontId="5" numFmtId="0" xfId="0" applyAlignment="1" applyBorder="1" applyFill="1" applyFont="1">
      <alignment horizontal="center" shrinkToFit="0" vertical="center" wrapText="1"/>
    </xf>
    <xf borderId="8" fillId="0" fontId="14" numFmtId="0" xfId="0" applyAlignment="1" applyBorder="1" applyFont="1">
      <alignment horizontal="center" vertical="center"/>
    </xf>
    <xf borderId="8" fillId="6" fontId="15" numFmtId="0" xfId="0" applyAlignment="1" applyBorder="1" applyFont="1">
      <alignment horizontal="center" shrinkToFit="0" vertical="center" wrapText="1"/>
    </xf>
    <xf borderId="6" fillId="0" fontId="14" numFmtId="0" xfId="0" applyAlignment="1" applyBorder="1" applyFont="1">
      <alignment horizontal="center" vertical="center"/>
    </xf>
    <xf borderId="6" fillId="6" fontId="15" numFmtId="0" xfId="0" applyAlignment="1" applyBorder="1" applyFont="1">
      <alignment horizontal="center" shrinkToFit="0" vertical="center" wrapText="1"/>
    </xf>
    <xf borderId="7" fillId="5" fontId="5" numFmtId="0" xfId="0" applyAlignment="1" applyBorder="1" applyFont="1">
      <alignment horizontal="center" shrinkToFit="0" vertical="center" wrapText="1"/>
    </xf>
    <xf borderId="7" fillId="6" fontId="5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left" vertical="center"/>
    </xf>
    <xf borderId="6" fillId="7" fontId="17" numFmtId="0" xfId="0" applyAlignment="1" applyBorder="1" applyFill="1" applyFont="1">
      <alignment horizontal="center" vertical="center"/>
    </xf>
    <xf borderId="7" fillId="8" fontId="5" numFmtId="0" xfId="0" applyAlignment="1" applyBorder="1" applyFill="1" applyFont="1">
      <alignment horizontal="center" shrinkToFit="0" vertical="center" wrapText="1"/>
    </xf>
    <xf borderId="8" fillId="8" fontId="1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center" shrinkToFit="0" vertical="center" wrapText="1"/>
    </xf>
    <xf borderId="6" fillId="8" fontId="14" numFmtId="0" xfId="0" applyAlignment="1" applyBorder="1" applyFont="1">
      <alignment horizontal="center" vertical="center"/>
    </xf>
    <xf borderId="6" fillId="8" fontId="15" numFmtId="0" xfId="0" applyAlignment="1" applyBorder="1" applyFont="1">
      <alignment horizontal="center" shrinkToFit="0" vertical="center" wrapText="1"/>
    </xf>
    <xf borderId="3" fillId="2" fontId="18" numFmtId="0" xfId="0" applyBorder="1" applyFont="1"/>
    <xf borderId="1" fillId="4" fontId="19" numFmtId="0" xfId="0" applyAlignment="1" applyBorder="1" applyFont="1">
      <alignment horizontal="center" vertical="center"/>
    </xf>
    <xf borderId="11" fillId="0" fontId="4" numFmtId="0" xfId="0" applyBorder="1" applyFont="1"/>
    <xf borderId="6" fillId="9" fontId="20" numFmtId="0" xfId="0" applyAlignment="1" applyBorder="1" applyFill="1" applyFont="1">
      <alignment horizontal="center" shrinkToFit="0" vertical="center" wrapText="1"/>
    </xf>
    <xf borderId="6" fillId="0" fontId="21" numFmtId="0" xfId="0" applyAlignment="1" applyBorder="1" applyFont="1">
      <alignment horizontal="left" vertical="center"/>
    </xf>
    <xf borderId="6" fillId="7" fontId="22" numFmtId="0" xfId="0" applyAlignment="1" applyBorder="1" applyFont="1">
      <alignment horizontal="left" vertical="center"/>
    </xf>
    <xf borderId="6" fillId="0" fontId="15" numFmtId="0" xfId="0" applyAlignment="1" applyBorder="1" applyFont="1">
      <alignment horizontal="center" shrinkToFit="0" vertical="center" wrapText="1"/>
    </xf>
    <xf borderId="0" fillId="0" fontId="23" numFmtId="0" xfId="0" applyFont="1"/>
    <xf borderId="0" fillId="0" fontId="24" numFmtId="0" xfId="0" applyAlignment="1" applyFont="1">
      <alignment horizontal="left" vertical="center"/>
    </xf>
    <xf borderId="4" fillId="9" fontId="25" numFmtId="0" xfId="0" applyAlignment="1" applyBorder="1" applyFont="1">
      <alignment horizontal="center" readingOrder="0" vertical="center"/>
    </xf>
    <xf borderId="0" fillId="0" fontId="13" numFmtId="0" xfId="0" applyFont="1"/>
    <xf borderId="0" fillId="0" fontId="10" numFmtId="0" xfId="0" applyAlignment="1" applyFont="1">
      <alignment horizontal="left" vertical="center"/>
    </xf>
    <xf borderId="6" fillId="10" fontId="8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center" vertical="center"/>
    </xf>
    <xf borderId="6" fillId="12" fontId="10" numFmtId="0" xfId="0" applyAlignment="1" applyBorder="1" applyFill="1" applyFont="1">
      <alignment horizontal="center" shrinkToFit="0" vertical="center" wrapText="1"/>
    </xf>
    <xf borderId="6" fillId="6" fontId="10" numFmtId="0" xfId="0" applyAlignment="1" applyBorder="1" applyFont="1">
      <alignment horizontal="center" shrinkToFit="0" vertical="center" wrapText="1"/>
    </xf>
    <xf borderId="0" fillId="0" fontId="26" numFmtId="0" xfId="0" applyFont="1"/>
  </cellXfs>
  <cellStyles count="1">
    <cellStyle xfId="0" name="Normal" builtinId="0"/>
  </cellStyles>
  <dxfs count="1"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22.0"/>
    <col customWidth="1" min="4" max="4" width="18.0"/>
    <col customWidth="1" min="5" max="6" width="3.0"/>
    <col customWidth="1" min="7" max="7" width="18.71"/>
    <col customWidth="1" min="8" max="26" width="8.71"/>
  </cols>
  <sheetData>
    <row r="2">
      <c r="B2" s="1"/>
    </row>
    <row r="3">
      <c r="B3" s="2"/>
    </row>
    <row r="5">
      <c r="B5" s="3" t="s">
        <v>0</v>
      </c>
      <c r="C5" s="4"/>
      <c r="G5" s="5" t="s">
        <v>1</v>
      </c>
    </row>
    <row r="6">
      <c r="B6" s="6" t="s">
        <v>2</v>
      </c>
      <c r="C6" s="7"/>
      <c r="G6" s="8" t="s">
        <v>3</v>
      </c>
    </row>
    <row r="7">
      <c r="B7" s="6" t="s">
        <v>4</v>
      </c>
      <c r="C7" s="7"/>
      <c r="G7" s="8" t="s">
        <v>5</v>
      </c>
    </row>
    <row r="8">
      <c r="B8" s="6" t="s">
        <v>6</v>
      </c>
      <c r="C8" s="7"/>
      <c r="G8" s="8" t="s">
        <v>7</v>
      </c>
    </row>
    <row r="9">
      <c r="B9" s="6" t="s">
        <v>8</v>
      </c>
      <c r="C9" s="7"/>
      <c r="G9" s="8" t="s">
        <v>9</v>
      </c>
    </row>
    <row r="10">
      <c r="B10" s="6" t="s">
        <v>10</v>
      </c>
      <c r="C10" s="7"/>
      <c r="G10" s="8" t="s">
        <v>11</v>
      </c>
    </row>
    <row r="11">
      <c r="B11" s="9"/>
      <c r="G11" s="8" t="s">
        <v>12</v>
      </c>
    </row>
    <row r="12">
      <c r="G12" s="8" t="s">
        <v>13</v>
      </c>
    </row>
    <row r="13">
      <c r="B13" s="10" t="s">
        <v>14</v>
      </c>
      <c r="G13" s="8" t="s">
        <v>15</v>
      </c>
    </row>
    <row r="14">
      <c r="B14" s="11" t="s">
        <v>16</v>
      </c>
      <c r="C14" s="11" t="s">
        <v>17</v>
      </c>
      <c r="D14" s="11" t="s">
        <v>18</v>
      </c>
      <c r="G14" s="8" t="s">
        <v>19</v>
      </c>
    </row>
    <row r="15">
      <c r="B15" s="12" t="s">
        <v>20</v>
      </c>
      <c r="C15" s="13" t="s">
        <v>2</v>
      </c>
      <c r="D15" s="14"/>
      <c r="G15" s="8" t="s">
        <v>21</v>
      </c>
    </row>
    <row r="16">
      <c r="B16" s="12" t="s">
        <v>22</v>
      </c>
      <c r="C16" s="14"/>
      <c r="D16" s="14"/>
      <c r="G16" s="8" t="s">
        <v>23</v>
      </c>
    </row>
    <row r="17">
      <c r="B17" s="12" t="s">
        <v>24</v>
      </c>
      <c r="C17" s="13" t="s">
        <v>2</v>
      </c>
      <c r="D17" s="14"/>
      <c r="G17" s="8" t="s">
        <v>25</v>
      </c>
    </row>
    <row r="18">
      <c r="B18" s="12" t="s">
        <v>26</v>
      </c>
      <c r="C18" s="14"/>
      <c r="D18" s="14"/>
    </row>
    <row r="19">
      <c r="B19" s="12" t="s">
        <v>27</v>
      </c>
      <c r="C19" s="14"/>
      <c r="D19" s="14"/>
      <c r="G19" s="15"/>
    </row>
    <row r="20">
      <c r="B20" s="12" t="s">
        <v>28</v>
      </c>
      <c r="C20" s="14"/>
      <c r="D20" s="14"/>
    </row>
    <row r="21" ht="15.75" customHeight="1">
      <c r="B21" s="12" t="s">
        <v>29</v>
      </c>
      <c r="C21" s="14"/>
      <c r="D21" s="14"/>
    </row>
    <row r="22" ht="15.75" customHeight="1">
      <c r="B22" s="12" t="s">
        <v>30</v>
      </c>
      <c r="C22" s="14"/>
      <c r="D22" s="14"/>
    </row>
    <row r="23" ht="15.75" customHeight="1">
      <c r="B23" s="12" t="s">
        <v>31</v>
      </c>
      <c r="C23" s="13" t="s">
        <v>2</v>
      </c>
      <c r="D23" s="14"/>
    </row>
    <row r="24" ht="15.75" customHeight="1">
      <c r="B24" s="12" t="s">
        <v>32</v>
      </c>
      <c r="C24" s="13" t="s">
        <v>2</v>
      </c>
      <c r="D24" s="14"/>
    </row>
    <row r="25" ht="15.75" customHeight="1">
      <c r="B25" s="12" t="s">
        <v>33</v>
      </c>
      <c r="C25" s="14"/>
      <c r="D25" s="14"/>
    </row>
    <row r="26" ht="15.75" customHeight="1">
      <c r="B26" s="12" t="s">
        <v>34</v>
      </c>
      <c r="C26" s="14"/>
      <c r="D26" s="14"/>
    </row>
    <row r="27" ht="15.75" customHeight="1">
      <c r="B27" s="12" t="s">
        <v>35</v>
      </c>
      <c r="C27" s="14"/>
      <c r="D27" s="14"/>
      <c r="I27" s="16"/>
    </row>
    <row r="28" ht="15.75" customHeight="1">
      <c r="B28" s="12" t="s">
        <v>36</v>
      </c>
      <c r="C28" s="14"/>
      <c r="D28" s="14"/>
      <c r="I28" s="16"/>
    </row>
    <row r="29" ht="15.75" customHeight="1">
      <c r="B29" s="12" t="s">
        <v>37</v>
      </c>
      <c r="C29" s="14"/>
      <c r="D29" s="14"/>
      <c r="I29" s="16"/>
    </row>
    <row r="30" ht="15.75" customHeight="1">
      <c r="B30" s="12" t="s">
        <v>38</v>
      </c>
      <c r="C30" s="13" t="s">
        <v>2</v>
      </c>
      <c r="D30" s="14"/>
      <c r="I30" s="16"/>
    </row>
    <row r="31" ht="15.75" customHeight="1">
      <c r="B31" s="12" t="s">
        <v>39</v>
      </c>
      <c r="C31" s="14"/>
      <c r="D31" s="14"/>
      <c r="I31" s="16"/>
    </row>
    <row r="32" ht="15.75" customHeight="1">
      <c r="B32" s="12" t="s">
        <v>40</v>
      </c>
      <c r="C32" s="14"/>
      <c r="D32" s="14"/>
      <c r="I32" s="16"/>
    </row>
    <row r="33" ht="15.75" customHeight="1">
      <c r="B33" s="12" t="s">
        <v>41</v>
      </c>
      <c r="C33" s="14"/>
      <c r="D33" s="14"/>
      <c r="I33" s="16"/>
    </row>
    <row r="34" ht="15.75" customHeight="1">
      <c r="B34" s="12" t="s">
        <v>42</v>
      </c>
      <c r="C34" s="14"/>
      <c r="D34" s="14"/>
      <c r="I34" s="16"/>
    </row>
    <row r="35" ht="15.75" customHeight="1">
      <c r="B35" s="12" t="s">
        <v>43</v>
      </c>
      <c r="C35" s="14"/>
      <c r="D35" s="14"/>
      <c r="I35" s="16"/>
    </row>
    <row r="36" ht="15.75" customHeight="1">
      <c r="B36" s="12" t="s">
        <v>44</v>
      </c>
      <c r="C36" s="14"/>
      <c r="D36" s="14"/>
      <c r="I36" s="16"/>
    </row>
    <row r="37" ht="15.75" customHeight="1">
      <c r="B37" s="12" t="s">
        <v>45</v>
      </c>
      <c r="C37" s="14"/>
      <c r="D37" s="14"/>
      <c r="I37" s="16"/>
    </row>
    <row r="38" ht="15.75" customHeight="1">
      <c r="B38" s="12" t="s">
        <v>46</v>
      </c>
      <c r="C38" s="14"/>
      <c r="D38" s="14"/>
      <c r="I38" s="16"/>
    </row>
    <row r="39" ht="15.75" customHeight="1">
      <c r="B39" s="17"/>
      <c r="C39" s="14"/>
      <c r="D39" s="14"/>
      <c r="I39" s="16"/>
    </row>
    <row r="40" ht="15.75" customHeight="1">
      <c r="B40" s="17"/>
      <c r="C40" s="14"/>
      <c r="D40" s="14"/>
      <c r="I40" s="16"/>
    </row>
    <row r="41" ht="15.75" customHeight="1">
      <c r="B41" s="17"/>
      <c r="C41" s="14"/>
      <c r="D41" s="14"/>
      <c r="I41" s="16"/>
    </row>
    <row r="42" ht="15.75" customHeight="1">
      <c r="B42" s="17"/>
      <c r="C42" s="14"/>
      <c r="D42" s="14"/>
      <c r="I42" s="16"/>
    </row>
    <row r="43" ht="15.75" customHeight="1">
      <c r="B43" s="17"/>
      <c r="C43" s="14"/>
      <c r="D43" s="14"/>
      <c r="I43" s="16"/>
    </row>
    <row r="44" ht="15.75" customHeight="1">
      <c r="B44" s="17"/>
      <c r="C44" s="14"/>
      <c r="D44" s="14"/>
      <c r="I44" s="16"/>
    </row>
    <row r="45" ht="15.75" customHeight="1">
      <c r="B45" s="17"/>
      <c r="C45" s="14"/>
      <c r="D45" s="14"/>
      <c r="I45" s="16"/>
    </row>
    <row r="46" ht="15.75" customHeight="1">
      <c r="I46" s="16"/>
    </row>
    <row r="47" ht="15.75" customHeight="1">
      <c r="I47" s="16"/>
    </row>
    <row r="48" ht="15.75" customHeight="1">
      <c r="I48" s="16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7">
    <mergeCell ref="B5:C5"/>
    <mergeCell ref="B6:C6"/>
    <mergeCell ref="B7:C7"/>
    <mergeCell ref="B8:C8"/>
    <mergeCell ref="B9:C9"/>
    <mergeCell ref="B10:C10"/>
    <mergeCell ref="B11:C11"/>
  </mergeCells>
  <dataValidations>
    <dataValidation type="list" allowBlank="1" sqref="C15:C45">
      <formula1>Equipes_Liste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5.57"/>
    <col customWidth="1" min="3" max="14" width="13.0"/>
    <col customWidth="1" min="15" max="15" width="8.71"/>
    <col customWidth="1" hidden="1" min="16" max="16" width="2.0"/>
    <col customWidth="1" min="17" max="26" width="8.71"/>
  </cols>
  <sheetData>
    <row r="1">
      <c r="A1" s="18" t="s">
        <v>47</v>
      </c>
    </row>
    <row r="3">
      <c r="A3" s="19" t="s">
        <v>48</v>
      </c>
      <c r="B3" s="20" t="s">
        <v>49</v>
      </c>
      <c r="C3" s="21" t="str">
        <f>'Paramètres'!$G$6</f>
        <v>00h–02h</v>
      </c>
      <c r="D3" s="21" t="str">
        <f>'Paramètres'!$G$7</f>
        <v>02h–04h</v>
      </c>
      <c r="E3" s="21" t="str">
        <f>'Paramètres'!$G$8</f>
        <v>04h–06h</v>
      </c>
      <c r="F3" s="21" t="str">
        <f>'Paramètres'!$G$9</f>
        <v>06h–08h</v>
      </c>
      <c r="G3" s="21" t="str">
        <f>'Paramètres'!$G$10</f>
        <v>08h–10h</v>
      </c>
      <c r="H3" s="21" t="str">
        <f>'Paramètres'!$G$11</f>
        <v>10h–12h</v>
      </c>
      <c r="I3" s="21" t="str">
        <f>'Paramètres'!$G$12</f>
        <v>12h–14h</v>
      </c>
      <c r="J3" s="21" t="str">
        <f>'Paramètres'!$G$13</f>
        <v>14h–16h</v>
      </c>
      <c r="K3" s="21" t="str">
        <f>'Paramètres'!$G$14</f>
        <v>16h–18h</v>
      </c>
      <c r="L3" s="21" t="str">
        <f>'Paramètres'!$G$15</f>
        <v>18h–20h</v>
      </c>
      <c r="M3" s="21" t="str">
        <f>'Paramètres'!$G$16</f>
        <v>20h–22h</v>
      </c>
      <c r="N3" s="21" t="str">
        <f>'Paramètres'!$G$17</f>
        <v>22h–00h</v>
      </c>
    </row>
    <row r="4" ht="15.0" customHeight="1">
      <c r="A4" s="22" t="s">
        <v>50</v>
      </c>
      <c r="B4" s="23">
        <v>1.0</v>
      </c>
      <c r="C4" s="24"/>
      <c r="D4" s="24"/>
      <c r="E4" s="25" t="s">
        <v>20</v>
      </c>
      <c r="F4" s="24"/>
      <c r="G4" s="24"/>
      <c r="H4" s="24"/>
      <c r="I4" s="24"/>
      <c r="J4" s="24"/>
      <c r="K4" s="24"/>
      <c r="L4" s="24"/>
      <c r="M4" s="24"/>
      <c r="N4" s="24"/>
      <c r="P4" s="26" t="str">
        <f t="shared" ref="P4:P8" si="1">$A$4</f>
        <v>EDHEC</v>
      </c>
    </row>
    <row r="5">
      <c r="A5" s="27"/>
      <c r="B5" s="28">
        <v>2.0</v>
      </c>
      <c r="C5" s="29"/>
      <c r="D5" s="29"/>
      <c r="E5" s="30" t="s">
        <v>22</v>
      </c>
      <c r="F5" s="29"/>
      <c r="G5" s="29"/>
      <c r="H5" s="29"/>
      <c r="I5" s="29"/>
      <c r="J5" s="29"/>
      <c r="K5" s="29"/>
      <c r="L5" s="29"/>
      <c r="M5" s="29"/>
      <c r="N5" s="29"/>
      <c r="P5" s="26" t="str">
        <f t="shared" si="1"/>
        <v>EDHEC</v>
      </c>
    </row>
    <row r="6">
      <c r="A6" s="27"/>
      <c r="B6" s="28">
        <v>3.0</v>
      </c>
      <c r="C6" s="29"/>
      <c r="D6" s="29"/>
      <c r="E6" s="30" t="s">
        <v>24</v>
      </c>
      <c r="F6" s="29"/>
      <c r="G6" s="29"/>
      <c r="H6" s="29"/>
      <c r="I6" s="29"/>
      <c r="J6" s="29"/>
      <c r="K6" s="29"/>
      <c r="L6" s="29"/>
      <c r="M6" s="29"/>
      <c r="N6" s="29"/>
      <c r="P6" s="26" t="str">
        <f t="shared" si="1"/>
        <v>EDHEC</v>
      </c>
    </row>
    <row r="7">
      <c r="A7" s="27"/>
      <c r="B7" s="28">
        <v>4.0</v>
      </c>
      <c r="C7" s="29"/>
      <c r="D7" s="29"/>
      <c r="E7" s="30" t="s">
        <v>26</v>
      </c>
      <c r="F7" s="29"/>
      <c r="G7" s="29"/>
      <c r="H7" s="29"/>
      <c r="I7" s="29"/>
      <c r="J7" s="29"/>
      <c r="K7" s="29"/>
      <c r="L7" s="29"/>
      <c r="M7" s="29"/>
      <c r="N7" s="29"/>
      <c r="P7" s="26" t="str">
        <f t="shared" si="1"/>
        <v>EDHEC</v>
      </c>
    </row>
    <row r="8">
      <c r="A8" s="31"/>
      <c r="B8" s="28">
        <v>5.0</v>
      </c>
      <c r="C8" s="29"/>
      <c r="D8" s="29"/>
      <c r="E8" s="30" t="s">
        <v>27</v>
      </c>
      <c r="F8" s="29"/>
      <c r="G8" s="29"/>
      <c r="H8" s="29"/>
      <c r="I8" s="29"/>
      <c r="J8" s="29"/>
      <c r="K8" s="29"/>
      <c r="L8" s="29"/>
      <c r="M8" s="29"/>
      <c r="N8" s="29"/>
      <c r="P8" s="26" t="str">
        <f t="shared" si="1"/>
        <v>EDHEC</v>
      </c>
    </row>
    <row r="9" ht="15.0" customHeight="1">
      <c r="A9" s="32" t="s">
        <v>51</v>
      </c>
      <c r="B9" s="33">
        <v>1.0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P9" s="26" t="str">
        <f t="shared" ref="P9:P13" si="2">$A$9</f>
        <v>Poste 2</v>
      </c>
    </row>
    <row r="10">
      <c r="A10" s="27"/>
      <c r="B10" s="35">
        <v>2.0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P10" s="26" t="str">
        <f t="shared" si="2"/>
        <v>Poste 2</v>
      </c>
    </row>
    <row r="11">
      <c r="A11" s="27"/>
      <c r="B11" s="35">
        <v>3.0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P11" s="26" t="str">
        <f t="shared" si="2"/>
        <v>Poste 2</v>
      </c>
    </row>
    <row r="12">
      <c r="A12" s="27"/>
      <c r="B12" s="35">
        <v>4.0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P12" s="26" t="str">
        <f t="shared" si="2"/>
        <v>Poste 2</v>
      </c>
    </row>
    <row r="13">
      <c r="A13" s="31"/>
      <c r="B13" s="35">
        <v>5.0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P13" s="26" t="str">
        <f t="shared" si="2"/>
        <v>Poste 2</v>
      </c>
    </row>
    <row r="14" ht="15.0" customHeight="1">
      <c r="A14" s="37" t="s">
        <v>52</v>
      </c>
      <c r="B14" s="23">
        <v>1.0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P14" s="26" t="str">
        <f t="shared" ref="P14:P18" si="3">$A$14</f>
        <v>Poste 3</v>
      </c>
    </row>
    <row r="15">
      <c r="A15" s="27"/>
      <c r="B15" s="28">
        <v>2.0</v>
      </c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P15" s="26" t="str">
        <f t="shared" si="3"/>
        <v>Poste 3</v>
      </c>
    </row>
    <row r="16">
      <c r="A16" s="27"/>
      <c r="B16" s="28">
        <v>3.0</v>
      </c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P16" s="26" t="str">
        <f t="shared" si="3"/>
        <v>Poste 3</v>
      </c>
    </row>
    <row r="17">
      <c r="A17" s="27"/>
      <c r="B17" s="28">
        <v>4.0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P17" s="26" t="str">
        <f t="shared" si="3"/>
        <v>Poste 3</v>
      </c>
    </row>
    <row r="18">
      <c r="A18" s="31"/>
      <c r="B18" s="28">
        <v>5.0</v>
      </c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P18" s="26" t="str">
        <f t="shared" si="3"/>
        <v>Poste 3</v>
      </c>
    </row>
    <row r="19" ht="15.0" customHeight="1">
      <c r="A19" s="38" t="s">
        <v>53</v>
      </c>
      <c r="B19" s="33">
        <v>1.0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P19" s="26" t="str">
        <f t="shared" ref="P19:P23" si="4">$A$19</f>
        <v>SECU </v>
      </c>
    </row>
    <row r="20">
      <c r="A20" s="27"/>
      <c r="B20" s="35">
        <v>2.0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P20" s="26" t="str">
        <f t="shared" si="4"/>
        <v>SECU </v>
      </c>
    </row>
    <row r="21" ht="15.75" customHeight="1">
      <c r="A21" s="27"/>
      <c r="B21" s="35">
        <v>3.0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P21" s="26" t="str">
        <f t="shared" si="4"/>
        <v>SECU </v>
      </c>
    </row>
    <row r="22" ht="15.75" customHeight="1">
      <c r="A22" s="27"/>
      <c r="B22" s="35">
        <v>4.0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P22" s="26" t="str">
        <f t="shared" si="4"/>
        <v>SECU </v>
      </c>
    </row>
    <row r="23" ht="15.75" customHeight="1">
      <c r="A23" s="31"/>
      <c r="B23" s="35">
        <v>5.0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P23" s="26" t="str">
        <f t="shared" si="4"/>
        <v>SECU </v>
      </c>
    </row>
    <row r="24" ht="15.0" customHeight="1">
      <c r="A24" s="22" t="s">
        <v>54</v>
      </c>
      <c r="B24" s="23">
        <v>1.0</v>
      </c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P24" s="26" t="str">
        <f t="shared" ref="P24:P28" si="5">$A$24</f>
        <v>PLAINE </v>
      </c>
    </row>
    <row r="25" ht="15.75" customHeight="1">
      <c r="A25" s="27"/>
      <c r="B25" s="28">
        <v>2.0</v>
      </c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P25" s="26" t="str">
        <f t="shared" si="5"/>
        <v>PLAINE </v>
      </c>
    </row>
    <row r="26" ht="15.75" customHeight="1">
      <c r="A26" s="27"/>
      <c r="B26" s="28">
        <v>3.0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P26" s="26" t="str">
        <f t="shared" si="5"/>
        <v>PLAINE </v>
      </c>
    </row>
    <row r="27" ht="15.75" customHeight="1">
      <c r="A27" s="27"/>
      <c r="B27" s="28">
        <v>4.0</v>
      </c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P27" s="26" t="str">
        <f t="shared" si="5"/>
        <v>PLAINE </v>
      </c>
    </row>
    <row r="28" ht="15.75" customHeight="1">
      <c r="A28" s="31"/>
      <c r="B28" s="28">
        <v>5.0</v>
      </c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P28" s="26" t="str">
        <f t="shared" si="5"/>
        <v>PLAINE </v>
      </c>
    </row>
    <row r="29" ht="15.0" customHeight="1">
      <c r="A29" s="38" t="s">
        <v>55</v>
      </c>
      <c r="B29" s="33">
        <v>1.0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P29" s="26" t="str">
        <f t="shared" ref="P29:P33" si="6">$A$29</f>
        <v>REPOS</v>
      </c>
    </row>
    <row r="30" ht="15.75" customHeight="1">
      <c r="A30" s="27"/>
      <c r="B30" s="35">
        <v>2.0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P30" s="26" t="str">
        <f t="shared" si="6"/>
        <v>REPOS</v>
      </c>
    </row>
    <row r="31" ht="15.75" customHeight="1">
      <c r="A31" s="27"/>
      <c r="B31" s="35">
        <v>3.0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P31" s="26" t="str">
        <f t="shared" si="6"/>
        <v>REPOS</v>
      </c>
    </row>
    <row r="32" ht="15.75" customHeight="1">
      <c r="A32" s="27"/>
      <c r="B32" s="35">
        <v>4.0</v>
      </c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P32" s="26" t="str">
        <f t="shared" si="6"/>
        <v>REPOS</v>
      </c>
    </row>
    <row r="33" ht="15.75" customHeight="1">
      <c r="A33" s="31"/>
      <c r="B33" s="35">
        <v>5.0</v>
      </c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P33" s="26" t="str">
        <f t="shared" si="6"/>
        <v>REPOS</v>
      </c>
    </row>
    <row r="34" ht="15.75" customHeight="1"/>
    <row r="35" ht="15.75" customHeight="1">
      <c r="A35" s="39" t="s">
        <v>56</v>
      </c>
      <c r="C35" s="40">
        <f t="shared" ref="C35:N35" si="7">COUNTA(C4:C33)</f>
        <v>0</v>
      </c>
      <c r="D35" s="40">
        <f t="shared" si="7"/>
        <v>0</v>
      </c>
      <c r="E35" s="40">
        <f t="shared" si="7"/>
        <v>5</v>
      </c>
      <c r="F35" s="40">
        <f t="shared" si="7"/>
        <v>0</v>
      </c>
      <c r="G35" s="40">
        <f t="shared" si="7"/>
        <v>0</v>
      </c>
      <c r="H35" s="40">
        <f t="shared" si="7"/>
        <v>0</v>
      </c>
      <c r="I35" s="40">
        <f t="shared" si="7"/>
        <v>0</v>
      </c>
      <c r="J35" s="40">
        <f t="shared" si="7"/>
        <v>0</v>
      </c>
      <c r="K35" s="40">
        <f t="shared" si="7"/>
        <v>0</v>
      </c>
      <c r="L35" s="40">
        <f t="shared" si="7"/>
        <v>0</v>
      </c>
      <c r="M35" s="40">
        <f t="shared" si="7"/>
        <v>0</v>
      </c>
      <c r="N35" s="40">
        <f t="shared" si="7"/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N1"/>
    <mergeCell ref="A4:A8"/>
    <mergeCell ref="A9:A13"/>
    <mergeCell ref="A14:A18"/>
    <mergeCell ref="A19:A23"/>
    <mergeCell ref="A24:A28"/>
    <mergeCell ref="A29:A33"/>
    <mergeCell ref="A35:B35"/>
  </mergeCells>
  <conditionalFormatting sqref="C4:N33">
    <cfRule type="expression" dxfId="0" priority="1">
      <formula>AND(C4&lt;&gt;"",COUNTIF(C$4:C$33,C4)&gt;1)</formula>
    </cfRule>
  </conditionalFormatting>
  <dataValidations>
    <dataValidation type="list" allowBlank="1" sqref="C4:N33">
      <formula1>Effectif_Noms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5.0"/>
    <col customWidth="1" min="3" max="14" width="13.0"/>
    <col customWidth="1" min="15" max="15" width="8.71"/>
    <col customWidth="1" hidden="1" min="16" max="16" width="2.0"/>
    <col customWidth="1" min="17" max="26" width="8.71"/>
  </cols>
  <sheetData>
    <row r="1">
      <c r="A1" s="18" t="s">
        <v>57</v>
      </c>
    </row>
    <row r="3">
      <c r="A3" s="19" t="s">
        <v>48</v>
      </c>
      <c r="B3" s="20" t="s">
        <v>49</v>
      </c>
      <c r="C3" s="21" t="str">
        <f>'Paramètres'!$G$6</f>
        <v>00h–02h</v>
      </c>
      <c r="D3" s="21" t="str">
        <f>'Paramètres'!$G$7</f>
        <v>02h–04h</v>
      </c>
      <c r="E3" s="21" t="str">
        <f>'Paramètres'!$G$8</f>
        <v>04h–06h</v>
      </c>
      <c r="F3" s="21" t="str">
        <f>'Paramètres'!$G$9</f>
        <v>06h–08h</v>
      </c>
      <c r="G3" s="21" t="str">
        <f>'Paramètres'!$G$10</f>
        <v>08h–10h</v>
      </c>
      <c r="H3" s="21" t="str">
        <f>'Paramètres'!$G$11</f>
        <v>10h–12h</v>
      </c>
      <c r="I3" s="21" t="str">
        <f>'Paramètres'!$G$12</f>
        <v>12h–14h</v>
      </c>
      <c r="J3" s="21" t="str">
        <f>'Paramètres'!$G$13</f>
        <v>14h–16h</v>
      </c>
      <c r="K3" s="21" t="str">
        <f>'Paramètres'!$G$14</f>
        <v>16h–18h</v>
      </c>
      <c r="L3" s="21" t="str">
        <f>'Paramètres'!$G$15</f>
        <v>18h–20h</v>
      </c>
      <c r="M3" s="21" t="str">
        <f>'Paramètres'!$G$16</f>
        <v>20h–22h</v>
      </c>
      <c r="N3" s="21" t="str">
        <f>'Paramètres'!$G$17</f>
        <v>22h–00h</v>
      </c>
    </row>
    <row r="4" ht="15.0" customHeight="1">
      <c r="A4" s="41" t="s">
        <v>58</v>
      </c>
      <c r="B4" s="42">
        <v>1.0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P4" s="26" t="str">
        <f t="shared" ref="P4:P8" si="1">$A$4</f>
        <v>Poste 1</v>
      </c>
    </row>
    <row r="5">
      <c r="A5" s="27"/>
      <c r="B5" s="44">
        <v>2.0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P5" s="26" t="str">
        <f t="shared" si="1"/>
        <v>Poste 1</v>
      </c>
    </row>
    <row r="6">
      <c r="A6" s="27"/>
      <c r="B6" s="44">
        <v>3.0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P6" s="26" t="str">
        <f t="shared" si="1"/>
        <v>Poste 1</v>
      </c>
    </row>
    <row r="7">
      <c r="A7" s="27"/>
      <c r="B7" s="44">
        <v>4.0</v>
      </c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P7" s="26" t="str">
        <f t="shared" si="1"/>
        <v>Poste 1</v>
      </c>
    </row>
    <row r="8">
      <c r="A8" s="31"/>
      <c r="B8" s="44">
        <v>5.0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P8" s="26" t="str">
        <f t="shared" si="1"/>
        <v>Poste 1</v>
      </c>
    </row>
    <row r="9" ht="15.0" customHeight="1">
      <c r="A9" s="32" t="s">
        <v>51</v>
      </c>
      <c r="B9" s="33">
        <v>1.0</v>
      </c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P9" s="26" t="str">
        <f t="shared" ref="P9:P13" si="2">$A$9</f>
        <v>Poste 2</v>
      </c>
    </row>
    <row r="10">
      <c r="A10" s="27"/>
      <c r="B10" s="35">
        <v>2.0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P10" s="26" t="str">
        <f t="shared" si="2"/>
        <v>Poste 2</v>
      </c>
    </row>
    <row r="11">
      <c r="A11" s="27"/>
      <c r="B11" s="35">
        <v>3.0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P11" s="26" t="str">
        <f t="shared" si="2"/>
        <v>Poste 2</v>
      </c>
    </row>
    <row r="12">
      <c r="A12" s="27"/>
      <c r="B12" s="35">
        <v>4.0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P12" s="26" t="str">
        <f t="shared" si="2"/>
        <v>Poste 2</v>
      </c>
    </row>
    <row r="13">
      <c r="A13" s="31"/>
      <c r="B13" s="35">
        <v>5.0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P13" s="26" t="str">
        <f t="shared" si="2"/>
        <v>Poste 2</v>
      </c>
    </row>
    <row r="14" ht="15.0" customHeight="1">
      <c r="A14" s="41" t="s">
        <v>52</v>
      </c>
      <c r="B14" s="42">
        <v>1.0</v>
      </c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P14" s="26" t="str">
        <f t="shared" ref="P14:P18" si="3">$A$14</f>
        <v>Poste 3</v>
      </c>
    </row>
    <row r="15">
      <c r="A15" s="27"/>
      <c r="B15" s="44">
        <v>2.0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P15" s="26" t="str">
        <f t="shared" si="3"/>
        <v>Poste 3</v>
      </c>
    </row>
    <row r="16">
      <c r="A16" s="27"/>
      <c r="B16" s="44">
        <v>3.0</v>
      </c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P16" s="26" t="str">
        <f t="shared" si="3"/>
        <v>Poste 3</v>
      </c>
    </row>
    <row r="17">
      <c r="A17" s="27"/>
      <c r="B17" s="44">
        <v>4.0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P17" s="26" t="str">
        <f t="shared" si="3"/>
        <v>Poste 3</v>
      </c>
    </row>
    <row r="18">
      <c r="A18" s="31"/>
      <c r="B18" s="44">
        <v>5.0</v>
      </c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P18" s="26" t="str">
        <f t="shared" si="3"/>
        <v>Poste 3</v>
      </c>
    </row>
    <row r="19" ht="15.0" customHeight="1">
      <c r="A19" s="32" t="s">
        <v>59</v>
      </c>
      <c r="B19" s="33">
        <v>1.0</v>
      </c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P19" s="26" t="str">
        <f t="shared" ref="P19:P23" si="4">$A$19</f>
        <v>Poste 4</v>
      </c>
    </row>
    <row r="20">
      <c r="A20" s="27"/>
      <c r="B20" s="35">
        <v>2.0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P20" s="26" t="str">
        <f t="shared" si="4"/>
        <v>Poste 4</v>
      </c>
    </row>
    <row r="21" ht="15.75" customHeight="1">
      <c r="A21" s="27"/>
      <c r="B21" s="35">
        <v>3.0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P21" s="26" t="str">
        <f t="shared" si="4"/>
        <v>Poste 4</v>
      </c>
    </row>
    <row r="22" ht="15.75" customHeight="1">
      <c r="A22" s="27"/>
      <c r="B22" s="35">
        <v>4.0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P22" s="26" t="str">
        <f t="shared" si="4"/>
        <v>Poste 4</v>
      </c>
    </row>
    <row r="23" ht="15.75" customHeight="1">
      <c r="A23" s="31"/>
      <c r="B23" s="35">
        <v>5.0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P23" s="26" t="str">
        <f t="shared" si="4"/>
        <v>Poste 4</v>
      </c>
    </row>
    <row r="24" ht="15.0" customHeight="1">
      <c r="A24" s="41" t="s">
        <v>60</v>
      </c>
      <c r="B24" s="42">
        <v>1.0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P24" s="26" t="str">
        <f t="shared" ref="P24:P28" si="5">$A$24</f>
        <v>Poste 5</v>
      </c>
    </row>
    <row r="25" ht="15.75" customHeight="1">
      <c r="A25" s="27"/>
      <c r="B25" s="44">
        <v>2.0</v>
      </c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P25" s="26" t="str">
        <f t="shared" si="5"/>
        <v>Poste 5</v>
      </c>
    </row>
    <row r="26" ht="15.75" customHeight="1">
      <c r="A26" s="27"/>
      <c r="B26" s="44">
        <v>3.0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P26" s="26" t="str">
        <f t="shared" si="5"/>
        <v>Poste 5</v>
      </c>
    </row>
    <row r="27" ht="15.75" customHeight="1">
      <c r="A27" s="27"/>
      <c r="B27" s="44">
        <v>4.0</v>
      </c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P27" s="26" t="str">
        <f t="shared" si="5"/>
        <v>Poste 5</v>
      </c>
    </row>
    <row r="28" ht="15.75" customHeight="1">
      <c r="A28" s="31"/>
      <c r="B28" s="44">
        <v>5.0</v>
      </c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P28" s="26" t="str">
        <f t="shared" si="5"/>
        <v>Poste 5</v>
      </c>
    </row>
    <row r="29" ht="15.0" customHeight="1">
      <c r="A29" s="32" t="s">
        <v>61</v>
      </c>
      <c r="B29" s="33">
        <v>1.0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P29" s="26" t="str">
        <f t="shared" ref="P29:P33" si="6">$A$29</f>
        <v>Poste 6</v>
      </c>
    </row>
    <row r="30" ht="15.75" customHeight="1">
      <c r="A30" s="27"/>
      <c r="B30" s="35">
        <v>2.0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P30" s="26" t="str">
        <f t="shared" si="6"/>
        <v>Poste 6</v>
      </c>
    </row>
    <row r="31" ht="15.75" customHeight="1">
      <c r="A31" s="27"/>
      <c r="B31" s="35">
        <v>3.0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P31" s="26" t="str">
        <f t="shared" si="6"/>
        <v>Poste 6</v>
      </c>
    </row>
    <row r="32" ht="15.75" customHeight="1">
      <c r="A32" s="27"/>
      <c r="B32" s="35">
        <v>4.0</v>
      </c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P32" s="26" t="str">
        <f t="shared" si="6"/>
        <v>Poste 6</v>
      </c>
    </row>
    <row r="33" ht="15.75" customHeight="1">
      <c r="A33" s="31"/>
      <c r="B33" s="35">
        <v>5.0</v>
      </c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P33" s="26" t="str">
        <f t="shared" si="6"/>
        <v>Poste 6</v>
      </c>
    </row>
    <row r="34" ht="15.75" customHeight="1"/>
    <row r="35" ht="15.75" customHeight="1">
      <c r="A35" s="39" t="s">
        <v>56</v>
      </c>
      <c r="C35" s="40">
        <f t="shared" ref="C35:N35" si="7">COUNTA(C4:C33)</f>
        <v>0</v>
      </c>
      <c r="D35" s="40">
        <f t="shared" si="7"/>
        <v>0</v>
      </c>
      <c r="E35" s="40">
        <f t="shared" si="7"/>
        <v>0</v>
      </c>
      <c r="F35" s="40">
        <f t="shared" si="7"/>
        <v>0</v>
      </c>
      <c r="G35" s="40">
        <f t="shared" si="7"/>
        <v>0</v>
      </c>
      <c r="H35" s="40">
        <f t="shared" si="7"/>
        <v>0</v>
      </c>
      <c r="I35" s="40">
        <f t="shared" si="7"/>
        <v>0</v>
      </c>
      <c r="J35" s="40">
        <f t="shared" si="7"/>
        <v>0</v>
      </c>
      <c r="K35" s="40">
        <f t="shared" si="7"/>
        <v>0</v>
      </c>
      <c r="L35" s="40">
        <f t="shared" si="7"/>
        <v>0</v>
      </c>
      <c r="M35" s="40">
        <f t="shared" si="7"/>
        <v>0</v>
      </c>
      <c r="N35" s="40">
        <f t="shared" si="7"/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N1"/>
    <mergeCell ref="A4:A8"/>
    <mergeCell ref="A9:A13"/>
    <mergeCell ref="A14:A18"/>
    <mergeCell ref="A19:A23"/>
    <mergeCell ref="A24:A28"/>
    <mergeCell ref="A29:A33"/>
    <mergeCell ref="A35:B35"/>
  </mergeCells>
  <conditionalFormatting sqref="C4:N33">
    <cfRule type="expression" dxfId="0" priority="1">
      <formula>AND(C4&lt;&gt;"",COUNTIF(C$4:C$33,C4)&gt;1)</formula>
    </cfRule>
  </conditionalFormatting>
  <dataValidations>
    <dataValidation type="list" allowBlank="1" sqref="C4:N33">
      <formula1>Effectif_Noms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14.0"/>
    <col customWidth="1" min="3" max="14" width="12.0"/>
    <col customWidth="1" min="15" max="15" width="3.0"/>
    <col customWidth="1" min="16" max="27" width="12.0"/>
  </cols>
  <sheetData>
    <row r="1">
      <c r="A1" s="18" t="s">
        <v>62</v>
      </c>
    </row>
    <row r="2">
      <c r="A2" s="46"/>
      <c r="B2" s="46"/>
      <c r="C2" s="47" t="s">
        <v>63</v>
      </c>
      <c r="D2" s="48"/>
      <c r="E2" s="48"/>
      <c r="F2" s="48"/>
      <c r="G2" s="48"/>
      <c r="H2" s="48"/>
      <c r="I2" s="48"/>
      <c r="J2" s="48"/>
      <c r="K2" s="48"/>
      <c r="L2" s="48"/>
      <c r="M2" s="48"/>
      <c r="N2" s="4"/>
      <c r="P2" s="47" t="s">
        <v>64</v>
      </c>
      <c r="Q2" s="48"/>
      <c r="R2" s="48"/>
      <c r="S2" s="48"/>
      <c r="T2" s="48"/>
      <c r="U2" s="48"/>
      <c r="V2" s="48"/>
      <c r="W2" s="48"/>
      <c r="X2" s="48"/>
      <c r="Y2" s="48"/>
      <c r="Z2" s="48"/>
      <c r="AA2" s="4"/>
    </row>
    <row r="3">
      <c r="A3" s="11" t="s">
        <v>16</v>
      </c>
      <c r="B3" s="11" t="s">
        <v>17</v>
      </c>
      <c r="C3" s="49" t="str">
        <f>'Paramètres'!$G$6</f>
        <v>00h–02h</v>
      </c>
      <c r="D3" s="49" t="str">
        <f>'Paramètres'!$G$7</f>
        <v>02h–04h</v>
      </c>
      <c r="E3" s="49" t="str">
        <f>'Paramètres'!$G$8</f>
        <v>04h–06h</v>
      </c>
      <c r="F3" s="49" t="str">
        <f>'Paramètres'!$G$9</f>
        <v>06h–08h</v>
      </c>
      <c r="G3" s="49" t="str">
        <f>'Paramètres'!$G$10</f>
        <v>08h–10h</v>
      </c>
      <c r="H3" s="49" t="str">
        <f>'Paramètres'!$G$11</f>
        <v>10h–12h</v>
      </c>
      <c r="I3" s="49" t="str">
        <f>'Paramètres'!$G$12</f>
        <v>12h–14h</v>
      </c>
      <c r="J3" s="49" t="str">
        <f>'Paramètres'!$G$13</f>
        <v>14h–16h</v>
      </c>
      <c r="K3" s="49" t="str">
        <f>'Paramètres'!$G$14</f>
        <v>16h–18h</v>
      </c>
      <c r="L3" s="49" t="str">
        <f>'Paramètres'!$G$15</f>
        <v>18h–20h</v>
      </c>
      <c r="M3" s="49" t="str">
        <f>'Paramètres'!$G$16</f>
        <v>20h–22h</v>
      </c>
      <c r="N3" s="49" t="str">
        <f>'Paramètres'!$G$17</f>
        <v>22h–00h</v>
      </c>
      <c r="P3" s="49" t="str">
        <f>'Paramètres'!$G$6</f>
        <v>00h–02h</v>
      </c>
      <c r="Q3" s="49" t="str">
        <f>'Paramètres'!$G$7</f>
        <v>02h–04h</v>
      </c>
      <c r="R3" s="49" t="str">
        <f>'Paramètres'!$G$8</f>
        <v>04h–06h</v>
      </c>
      <c r="S3" s="49" t="str">
        <f>'Paramètres'!$G$9</f>
        <v>06h–08h</v>
      </c>
      <c r="T3" s="49" t="str">
        <f>'Paramètres'!$G$10</f>
        <v>08h–10h</v>
      </c>
      <c r="U3" s="49" t="str">
        <f>'Paramètres'!$G$11</f>
        <v>10h–12h</v>
      </c>
      <c r="V3" s="49" t="str">
        <f>'Paramètres'!$G$12</f>
        <v>12h–14h</v>
      </c>
      <c r="W3" s="49" t="str">
        <f>'Paramètres'!$G$13</f>
        <v>14h–16h</v>
      </c>
      <c r="X3" s="49" t="str">
        <f>'Paramètres'!$G$14</f>
        <v>16h–18h</v>
      </c>
      <c r="Y3" s="49" t="str">
        <f>'Paramètres'!$G$15</f>
        <v>18h–20h</v>
      </c>
      <c r="Z3" s="49" t="str">
        <f>'Paramètres'!$G$16</f>
        <v>20h–22h</v>
      </c>
      <c r="AA3" s="49" t="str">
        <f>'Paramètres'!$G$17</f>
        <v>22h–00h</v>
      </c>
    </row>
    <row r="4">
      <c r="A4" s="50" t="str">
        <f>IF('Paramètres'!$B$15="","",'Paramètres'!$B$15)</f>
        <v>Aurélien</v>
      </c>
      <c r="B4" s="51" t="str">
        <f>IF('Paramètres'!$C$15="","",'Paramètres'!$C$15)</f>
        <v>Équipe 1</v>
      </c>
      <c r="C4" s="52" t="str">
        <f t="array" ref="C4">IF($A4="","",IF(SUMPRODUCT(('J1 - 18 sept'!C$4:C$33=$A4)*1)=0,"",IF(SUMPRODUCT(('J1 - 18 sept'!C$4:C$33=$A4)*1)=1,INDEX('J1 - 18 sept'!$P$4:$P$33,MATCH($A4,'J1 - 18 sept'!C$4:C$33,0)),"⚠ CONFLIT")))</f>
        <v/>
      </c>
      <c r="D4" s="52" t="str">
        <f t="array" ref="D4">IF($A4="","",IF(SUMPRODUCT(('J1 - 18 sept'!D$4:D$33=$A4)*1)=0,"",IF(SUMPRODUCT(('J1 - 18 sept'!D$4:D$33=$A4)*1)=1,INDEX('J1 - 18 sept'!$P$4:$P$33,MATCH($A4,'J1 - 18 sept'!D$4:D$33,0)),"⚠ CONFLIT")))</f>
        <v/>
      </c>
      <c r="E4" s="52" t="str">
        <f t="array" ref="E4">IF($A4="","",IF(SUMPRODUCT(('J1 - 18 sept'!E$4:E$33=$A4)*1)=0,"",IF(SUMPRODUCT(('J1 - 18 sept'!E$4:E$33=$A4)*1)=1,INDEX('J1 - 18 sept'!$P$4:$P$33,MATCH($A4,'J1 - 18 sept'!E$4:E$33,0)),"⚠ CONFLIT")))</f>
        <v>EDHEC</v>
      </c>
      <c r="F4" s="52" t="str">
        <f t="array" ref="F4">IF($A4="","",IF(SUMPRODUCT(('J1 - 18 sept'!F$4:F$33=$A4)*1)=0,"",IF(SUMPRODUCT(('J1 - 18 sept'!F$4:F$33=$A4)*1)=1,INDEX('J1 - 18 sept'!$P$4:$P$33,MATCH($A4,'J1 - 18 sept'!F$4:F$33,0)),"⚠ CONFLIT")))</f>
        <v/>
      </c>
      <c r="G4" s="52" t="str">
        <f t="array" ref="G4">IF($A4="","",IF(SUMPRODUCT(('J1 - 18 sept'!G$4:G$33=$A4)*1)=0,"",IF(SUMPRODUCT(('J1 - 18 sept'!G$4:G$33=$A4)*1)=1,INDEX('J1 - 18 sept'!$P$4:$P$33,MATCH($A4,'J1 - 18 sept'!G$4:G$33,0)),"⚠ CONFLIT")))</f>
        <v/>
      </c>
      <c r="H4" s="52" t="str">
        <f t="array" ref="H4">IF($A4="","",IF(SUMPRODUCT(('J1 - 18 sept'!H$4:H$33=$A4)*1)=0,"",IF(SUMPRODUCT(('J1 - 18 sept'!H$4:H$33=$A4)*1)=1,INDEX('J1 - 18 sept'!$P$4:$P$33,MATCH($A4,'J1 - 18 sept'!H$4:H$33,0)),"⚠ CONFLIT")))</f>
        <v/>
      </c>
      <c r="I4" s="52" t="str">
        <f t="array" ref="I4">IF($A4="","",IF(SUMPRODUCT(('J1 - 18 sept'!I$4:I$33=$A4)*1)=0,"",IF(SUMPRODUCT(('J1 - 18 sept'!I$4:I$33=$A4)*1)=1,INDEX('J1 - 18 sept'!$P$4:$P$33,MATCH($A4,'J1 - 18 sept'!I$4:I$33,0)),"⚠ CONFLIT")))</f>
        <v/>
      </c>
      <c r="J4" s="52" t="str">
        <f t="array" ref="J4">IF($A4="","",IF(SUMPRODUCT(('J1 - 18 sept'!J$4:J$33=$A4)*1)=0,"",IF(SUMPRODUCT(('J1 - 18 sept'!J$4:J$33=$A4)*1)=1,INDEX('J1 - 18 sept'!$P$4:$P$33,MATCH($A4,'J1 - 18 sept'!J$4:J$33,0)),"⚠ CONFLIT")))</f>
        <v/>
      </c>
      <c r="K4" s="52" t="str">
        <f t="array" ref="K4">IF($A4="","",IF(SUMPRODUCT(('J1 - 18 sept'!K$4:K$33=$A4)*1)=0,"",IF(SUMPRODUCT(('J1 - 18 sept'!K$4:K$33=$A4)*1)=1,INDEX('J1 - 18 sept'!$P$4:$P$33,MATCH($A4,'J1 - 18 sept'!K$4:K$33,0)),"⚠ CONFLIT")))</f>
        <v/>
      </c>
      <c r="L4" s="52" t="str">
        <f t="array" ref="L4">IF($A4="","",IF(SUMPRODUCT(('J1 - 18 sept'!L$4:L$33=$A4)*1)=0,"",IF(SUMPRODUCT(('J1 - 18 sept'!L$4:L$33=$A4)*1)=1,INDEX('J1 - 18 sept'!$P$4:$P$33,MATCH($A4,'J1 - 18 sept'!L$4:L$33,0)),"⚠ CONFLIT")))</f>
        <v/>
      </c>
      <c r="M4" s="52" t="str">
        <f t="array" ref="M4">IF($A4="","",IF(SUMPRODUCT(('J1 - 18 sept'!M$4:M$33=$A4)*1)=0,"",IF(SUMPRODUCT(('J1 - 18 sept'!M$4:M$33=$A4)*1)=1,INDEX('J1 - 18 sept'!$P$4:$P$33,MATCH($A4,'J1 - 18 sept'!M$4:M$33,0)),"⚠ CONFLIT")))</f>
        <v/>
      </c>
      <c r="N4" s="52" t="str">
        <f t="array" ref="N4">IF($A4="","",IF(SUMPRODUCT(('J1 - 18 sept'!N$4:N$33=$A4)*1)=0,"",IF(SUMPRODUCT(('J1 - 18 sept'!N$4:N$33=$A4)*1)=1,INDEX('J1 - 18 sept'!$P$4:$P$33,MATCH($A4,'J1 - 18 sept'!N$4:N$33,0)),"⚠ CONFLIT")))</f>
        <v/>
      </c>
      <c r="P4" s="52" t="str">
        <f t="array" ref="P4">IF($A4="","",IF(SUMPRODUCT(('J2 - 19 sept'!C$4:C$33=$A4)*1)=0,"",IF(SUMPRODUCT(('J2 - 19 sept'!C$4:C$33=$A4)*1)=1,INDEX('J2 - 19 sept'!$P$4:$P$33,MATCH($A4,'J2 - 19 sept'!C$4:C$33,0)),"⚠ CONFLIT")))</f>
        <v/>
      </c>
      <c r="Q4" s="52" t="str">
        <f t="array" ref="Q4">IF($A4="","",IF(SUMPRODUCT(('J2 - 19 sept'!D$4:D$33=$A4)*1)=0,"",IF(SUMPRODUCT(('J2 - 19 sept'!D$4:D$33=$A4)*1)=1,INDEX('J2 - 19 sept'!$P$4:$P$33,MATCH($A4,'J2 - 19 sept'!D$4:D$33,0)),"⚠ CONFLIT")))</f>
        <v/>
      </c>
      <c r="R4" s="52" t="str">
        <f t="array" ref="R4">IF($A4="","",IF(SUMPRODUCT(('J2 - 19 sept'!E$4:E$33=$A4)*1)=0,"",IF(SUMPRODUCT(('J2 - 19 sept'!E$4:E$33=$A4)*1)=1,INDEX('J2 - 19 sept'!$P$4:$P$33,MATCH($A4,'J2 - 19 sept'!E$4:E$33,0)),"⚠ CONFLIT")))</f>
        <v/>
      </c>
      <c r="S4" s="52" t="str">
        <f t="array" ref="S4">IF($A4="","",IF(SUMPRODUCT(('J2 - 19 sept'!F$4:F$33=$A4)*1)=0,"",IF(SUMPRODUCT(('J2 - 19 sept'!F$4:F$33=$A4)*1)=1,INDEX('J2 - 19 sept'!$P$4:$P$33,MATCH($A4,'J2 - 19 sept'!F$4:F$33,0)),"⚠ CONFLIT")))</f>
        <v/>
      </c>
      <c r="T4" s="52" t="str">
        <f t="array" ref="T4">IF($A4="","",IF(SUMPRODUCT(('J2 - 19 sept'!G$4:G$33=$A4)*1)=0,"",IF(SUMPRODUCT(('J2 - 19 sept'!G$4:G$33=$A4)*1)=1,INDEX('J2 - 19 sept'!$P$4:$P$33,MATCH($A4,'J2 - 19 sept'!G$4:G$33,0)),"⚠ CONFLIT")))</f>
        <v/>
      </c>
      <c r="U4" s="52" t="str">
        <f t="array" ref="U4">IF($A4="","",IF(SUMPRODUCT(('J2 - 19 sept'!H$4:H$33=$A4)*1)=0,"",IF(SUMPRODUCT(('J2 - 19 sept'!H$4:H$33=$A4)*1)=1,INDEX('J2 - 19 sept'!$P$4:$P$33,MATCH($A4,'J2 - 19 sept'!H$4:H$33,0)),"⚠ CONFLIT")))</f>
        <v/>
      </c>
      <c r="V4" s="52" t="str">
        <f t="array" ref="V4">IF($A4="","",IF(SUMPRODUCT(('J2 - 19 sept'!I$4:I$33=$A4)*1)=0,"",IF(SUMPRODUCT(('J2 - 19 sept'!I$4:I$33=$A4)*1)=1,INDEX('J2 - 19 sept'!$P$4:$P$33,MATCH($A4,'J2 - 19 sept'!I$4:I$33,0)),"⚠ CONFLIT")))</f>
        <v/>
      </c>
      <c r="W4" s="52" t="str">
        <f t="array" ref="W4">IF($A4="","",IF(SUMPRODUCT(('J2 - 19 sept'!J$4:J$33=$A4)*1)=0,"",IF(SUMPRODUCT(('J2 - 19 sept'!J$4:J$33=$A4)*1)=1,INDEX('J2 - 19 sept'!$P$4:$P$33,MATCH($A4,'J2 - 19 sept'!J$4:J$33,0)),"⚠ CONFLIT")))</f>
        <v/>
      </c>
      <c r="X4" s="52" t="str">
        <f t="array" ref="X4">IF($A4="","",IF(SUMPRODUCT(('J2 - 19 sept'!K$4:K$33=$A4)*1)=0,"",IF(SUMPRODUCT(('J2 - 19 sept'!K$4:K$33=$A4)*1)=1,INDEX('J2 - 19 sept'!$P$4:$P$33,MATCH($A4,'J2 - 19 sept'!K$4:K$33,0)),"⚠ CONFLIT")))</f>
        <v/>
      </c>
      <c r="Y4" s="52" t="str">
        <f t="array" ref="Y4">IF($A4="","",IF(SUMPRODUCT(('J2 - 19 sept'!L$4:L$33=$A4)*1)=0,"",IF(SUMPRODUCT(('J2 - 19 sept'!L$4:L$33=$A4)*1)=1,INDEX('J2 - 19 sept'!$P$4:$P$33,MATCH($A4,'J2 - 19 sept'!L$4:L$33,0)),"⚠ CONFLIT")))</f>
        <v/>
      </c>
      <c r="Z4" s="52" t="str">
        <f t="array" ref="Z4">IF($A4="","",IF(SUMPRODUCT(('J2 - 19 sept'!M$4:M$33=$A4)*1)=0,"",IF(SUMPRODUCT(('J2 - 19 sept'!M$4:M$33=$A4)*1)=1,INDEX('J2 - 19 sept'!$P$4:$P$33,MATCH($A4,'J2 - 19 sept'!M$4:M$33,0)),"⚠ CONFLIT")))</f>
        <v/>
      </c>
      <c r="AA4" s="52" t="str">
        <f t="array" ref="AA4">IF($A4="","",IF(SUMPRODUCT(('J2 - 19 sept'!N$4:N$33=$A4)*1)=0,"",IF(SUMPRODUCT(('J2 - 19 sept'!N$4:N$33=$A4)*1)=1,INDEX('J2 - 19 sept'!$P$4:$P$33,MATCH($A4,'J2 - 19 sept'!N$4:N$33,0)),"⚠ CONFLIT")))</f>
        <v/>
      </c>
    </row>
    <row r="5">
      <c r="A5" s="50" t="str">
        <f>IF('Paramètres'!$B$16="","",'Paramètres'!$B$16)</f>
        <v>Colombe</v>
      </c>
      <c r="B5" s="51" t="str">
        <f>IF('Paramètres'!$C$16="","",'Paramètres'!$C$16)</f>
        <v/>
      </c>
      <c r="C5" s="52" t="str">
        <f t="array" ref="C5">IF($A5="","",IF(SUMPRODUCT(('J1 - 18 sept'!C$4:C$33=$A5)*1)=0,"",IF(SUMPRODUCT(('J1 - 18 sept'!C$4:C$33=$A5)*1)=1,INDEX('J1 - 18 sept'!$P$4:$P$33,MATCH($A5,'J1 - 18 sept'!C$4:C$33,0)),"⚠ CONFLIT")))</f>
        <v/>
      </c>
      <c r="D5" s="52" t="str">
        <f t="array" ref="D5">IF($A5="","",IF(SUMPRODUCT(('J1 - 18 sept'!D$4:D$33=$A5)*1)=0,"",IF(SUMPRODUCT(('J1 - 18 sept'!D$4:D$33=$A5)*1)=1,INDEX('J1 - 18 sept'!$P$4:$P$33,MATCH($A5,'J1 - 18 sept'!D$4:D$33,0)),"⚠ CONFLIT")))</f>
        <v/>
      </c>
      <c r="E5" s="52" t="str">
        <f t="array" ref="E5">IF($A5="","",IF(SUMPRODUCT(('J1 - 18 sept'!E$4:E$33=$A5)*1)=0,"",IF(SUMPRODUCT(('J1 - 18 sept'!E$4:E$33=$A5)*1)=1,INDEX('J1 - 18 sept'!$P$4:$P$33,MATCH($A5,'J1 - 18 sept'!E$4:E$33,0)),"⚠ CONFLIT")))</f>
        <v>EDHEC</v>
      </c>
      <c r="F5" s="52" t="str">
        <f t="array" ref="F5">IF($A5="","",IF(SUMPRODUCT(('J1 - 18 sept'!F$4:F$33=$A5)*1)=0,"",IF(SUMPRODUCT(('J1 - 18 sept'!F$4:F$33=$A5)*1)=1,INDEX('J1 - 18 sept'!$P$4:$P$33,MATCH($A5,'J1 - 18 sept'!F$4:F$33,0)),"⚠ CONFLIT")))</f>
        <v/>
      </c>
      <c r="G5" s="52" t="str">
        <f t="array" ref="G5">IF($A5="","",IF(SUMPRODUCT(('J1 - 18 sept'!G$4:G$33=$A5)*1)=0,"",IF(SUMPRODUCT(('J1 - 18 sept'!G$4:G$33=$A5)*1)=1,INDEX('J1 - 18 sept'!$P$4:$P$33,MATCH($A5,'J1 - 18 sept'!G$4:G$33,0)),"⚠ CONFLIT")))</f>
        <v/>
      </c>
      <c r="H5" s="52" t="str">
        <f t="array" ref="H5">IF($A5="","",IF(SUMPRODUCT(('J1 - 18 sept'!H$4:H$33=$A5)*1)=0,"",IF(SUMPRODUCT(('J1 - 18 sept'!H$4:H$33=$A5)*1)=1,INDEX('J1 - 18 sept'!$P$4:$P$33,MATCH($A5,'J1 - 18 sept'!H$4:H$33,0)),"⚠ CONFLIT")))</f>
        <v/>
      </c>
      <c r="I5" s="52" t="str">
        <f t="array" ref="I5">IF($A5="","",IF(SUMPRODUCT(('J1 - 18 sept'!I$4:I$33=$A5)*1)=0,"",IF(SUMPRODUCT(('J1 - 18 sept'!I$4:I$33=$A5)*1)=1,INDEX('J1 - 18 sept'!$P$4:$P$33,MATCH($A5,'J1 - 18 sept'!I$4:I$33,0)),"⚠ CONFLIT")))</f>
        <v/>
      </c>
      <c r="J5" s="52" t="str">
        <f t="array" ref="J5">IF($A5="","",IF(SUMPRODUCT(('J1 - 18 sept'!J$4:J$33=$A5)*1)=0,"",IF(SUMPRODUCT(('J1 - 18 sept'!J$4:J$33=$A5)*1)=1,INDEX('J1 - 18 sept'!$P$4:$P$33,MATCH($A5,'J1 - 18 sept'!J$4:J$33,0)),"⚠ CONFLIT")))</f>
        <v/>
      </c>
      <c r="K5" s="52" t="str">
        <f t="array" ref="K5">IF($A5="","",IF(SUMPRODUCT(('J1 - 18 sept'!K$4:K$33=$A5)*1)=0,"",IF(SUMPRODUCT(('J1 - 18 sept'!K$4:K$33=$A5)*1)=1,INDEX('J1 - 18 sept'!$P$4:$P$33,MATCH($A5,'J1 - 18 sept'!K$4:K$33,0)),"⚠ CONFLIT")))</f>
        <v/>
      </c>
      <c r="L5" s="52" t="str">
        <f t="array" ref="L5">IF($A5="","",IF(SUMPRODUCT(('J1 - 18 sept'!L$4:L$33=$A5)*1)=0,"",IF(SUMPRODUCT(('J1 - 18 sept'!L$4:L$33=$A5)*1)=1,INDEX('J1 - 18 sept'!$P$4:$P$33,MATCH($A5,'J1 - 18 sept'!L$4:L$33,0)),"⚠ CONFLIT")))</f>
        <v/>
      </c>
      <c r="M5" s="52" t="str">
        <f t="array" ref="M5">IF($A5="","",IF(SUMPRODUCT(('J1 - 18 sept'!M$4:M$33=$A5)*1)=0,"",IF(SUMPRODUCT(('J1 - 18 sept'!M$4:M$33=$A5)*1)=1,INDEX('J1 - 18 sept'!$P$4:$P$33,MATCH($A5,'J1 - 18 sept'!M$4:M$33,0)),"⚠ CONFLIT")))</f>
        <v/>
      </c>
      <c r="N5" s="52" t="str">
        <f t="array" ref="N5">IF($A5="","",IF(SUMPRODUCT(('J1 - 18 sept'!N$4:N$33=$A5)*1)=0,"",IF(SUMPRODUCT(('J1 - 18 sept'!N$4:N$33=$A5)*1)=1,INDEX('J1 - 18 sept'!$P$4:$P$33,MATCH($A5,'J1 - 18 sept'!N$4:N$33,0)),"⚠ CONFLIT")))</f>
        <v/>
      </c>
      <c r="P5" s="52" t="str">
        <f t="array" ref="P5">IF($A5="","",IF(SUMPRODUCT(('J2 - 19 sept'!C$4:C$33=$A5)*1)=0,"",IF(SUMPRODUCT(('J2 - 19 sept'!C$4:C$33=$A5)*1)=1,INDEX('J2 - 19 sept'!$P$4:$P$33,MATCH($A5,'J2 - 19 sept'!C$4:C$33,0)),"⚠ CONFLIT")))</f>
        <v/>
      </c>
      <c r="Q5" s="52" t="str">
        <f t="array" ref="Q5">IF($A5="","",IF(SUMPRODUCT(('J2 - 19 sept'!D$4:D$33=$A5)*1)=0,"",IF(SUMPRODUCT(('J2 - 19 sept'!D$4:D$33=$A5)*1)=1,INDEX('J2 - 19 sept'!$P$4:$P$33,MATCH($A5,'J2 - 19 sept'!D$4:D$33,0)),"⚠ CONFLIT")))</f>
        <v/>
      </c>
      <c r="R5" s="52" t="str">
        <f t="array" ref="R5">IF($A5="","",IF(SUMPRODUCT(('J2 - 19 sept'!E$4:E$33=$A5)*1)=0,"",IF(SUMPRODUCT(('J2 - 19 sept'!E$4:E$33=$A5)*1)=1,INDEX('J2 - 19 sept'!$P$4:$P$33,MATCH($A5,'J2 - 19 sept'!E$4:E$33,0)),"⚠ CONFLIT")))</f>
        <v/>
      </c>
      <c r="S5" s="52" t="str">
        <f t="array" ref="S5">IF($A5="","",IF(SUMPRODUCT(('J2 - 19 sept'!F$4:F$33=$A5)*1)=0,"",IF(SUMPRODUCT(('J2 - 19 sept'!F$4:F$33=$A5)*1)=1,INDEX('J2 - 19 sept'!$P$4:$P$33,MATCH($A5,'J2 - 19 sept'!F$4:F$33,0)),"⚠ CONFLIT")))</f>
        <v/>
      </c>
      <c r="T5" s="52" t="str">
        <f t="array" ref="T5">IF($A5="","",IF(SUMPRODUCT(('J2 - 19 sept'!G$4:G$33=$A5)*1)=0,"",IF(SUMPRODUCT(('J2 - 19 sept'!G$4:G$33=$A5)*1)=1,INDEX('J2 - 19 sept'!$P$4:$P$33,MATCH($A5,'J2 - 19 sept'!G$4:G$33,0)),"⚠ CONFLIT")))</f>
        <v/>
      </c>
      <c r="U5" s="52" t="str">
        <f t="array" ref="U5">IF($A5="","",IF(SUMPRODUCT(('J2 - 19 sept'!H$4:H$33=$A5)*1)=0,"",IF(SUMPRODUCT(('J2 - 19 sept'!H$4:H$33=$A5)*1)=1,INDEX('J2 - 19 sept'!$P$4:$P$33,MATCH($A5,'J2 - 19 sept'!H$4:H$33,0)),"⚠ CONFLIT")))</f>
        <v/>
      </c>
      <c r="V5" s="52" t="str">
        <f t="array" ref="V5">IF($A5="","",IF(SUMPRODUCT(('J2 - 19 sept'!I$4:I$33=$A5)*1)=0,"",IF(SUMPRODUCT(('J2 - 19 sept'!I$4:I$33=$A5)*1)=1,INDEX('J2 - 19 sept'!$P$4:$P$33,MATCH($A5,'J2 - 19 sept'!I$4:I$33,0)),"⚠ CONFLIT")))</f>
        <v/>
      </c>
      <c r="W5" s="52" t="str">
        <f t="array" ref="W5">IF($A5="","",IF(SUMPRODUCT(('J2 - 19 sept'!J$4:J$33=$A5)*1)=0,"",IF(SUMPRODUCT(('J2 - 19 sept'!J$4:J$33=$A5)*1)=1,INDEX('J2 - 19 sept'!$P$4:$P$33,MATCH($A5,'J2 - 19 sept'!J$4:J$33,0)),"⚠ CONFLIT")))</f>
        <v/>
      </c>
      <c r="X5" s="52" t="str">
        <f t="array" ref="X5">IF($A5="","",IF(SUMPRODUCT(('J2 - 19 sept'!K$4:K$33=$A5)*1)=0,"",IF(SUMPRODUCT(('J2 - 19 sept'!K$4:K$33=$A5)*1)=1,INDEX('J2 - 19 sept'!$P$4:$P$33,MATCH($A5,'J2 - 19 sept'!K$4:K$33,0)),"⚠ CONFLIT")))</f>
        <v/>
      </c>
      <c r="Y5" s="52" t="str">
        <f t="array" ref="Y5">IF($A5="","",IF(SUMPRODUCT(('J2 - 19 sept'!L$4:L$33=$A5)*1)=0,"",IF(SUMPRODUCT(('J2 - 19 sept'!L$4:L$33=$A5)*1)=1,INDEX('J2 - 19 sept'!$P$4:$P$33,MATCH($A5,'J2 - 19 sept'!L$4:L$33,0)),"⚠ CONFLIT")))</f>
        <v/>
      </c>
      <c r="Z5" s="52" t="str">
        <f t="array" ref="Z5">IF($A5="","",IF(SUMPRODUCT(('J2 - 19 sept'!M$4:M$33=$A5)*1)=0,"",IF(SUMPRODUCT(('J2 - 19 sept'!M$4:M$33=$A5)*1)=1,INDEX('J2 - 19 sept'!$P$4:$P$33,MATCH($A5,'J2 - 19 sept'!M$4:M$33,0)),"⚠ CONFLIT")))</f>
        <v/>
      </c>
      <c r="AA5" s="52" t="str">
        <f t="array" ref="AA5">IF($A5="","",IF(SUMPRODUCT(('J2 - 19 sept'!N$4:N$33=$A5)*1)=0,"",IF(SUMPRODUCT(('J2 - 19 sept'!N$4:N$33=$A5)*1)=1,INDEX('J2 - 19 sept'!$P$4:$P$33,MATCH($A5,'J2 - 19 sept'!N$4:N$33,0)),"⚠ CONFLIT")))</f>
        <v/>
      </c>
    </row>
    <row r="6">
      <c r="A6" s="50" t="str">
        <f>IF('Paramètres'!$B$17="","",'Paramètres'!$B$17)</f>
        <v>Léa</v>
      </c>
      <c r="B6" s="51" t="str">
        <f>IF('Paramètres'!$C$17="","",'Paramètres'!$C$17)</f>
        <v>Équipe 1</v>
      </c>
      <c r="C6" s="52" t="str">
        <f t="array" ref="C6">IF($A6="","",IF(SUMPRODUCT(('J1 - 18 sept'!C$4:C$33=$A6)*1)=0,"",IF(SUMPRODUCT(('J1 - 18 sept'!C$4:C$33=$A6)*1)=1,INDEX('J1 - 18 sept'!$P$4:$P$33,MATCH($A6,'J1 - 18 sept'!C$4:C$33,0)),"⚠ CONFLIT")))</f>
        <v/>
      </c>
      <c r="D6" s="52" t="str">
        <f t="array" ref="D6">IF($A6="","",IF(SUMPRODUCT(('J1 - 18 sept'!D$4:D$33=$A6)*1)=0,"",IF(SUMPRODUCT(('J1 - 18 sept'!D$4:D$33=$A6)*1)=1,INDEX('J1 - 18 sept'!$P$4:$P$33,MATCH($A6,'J1 - 18 sept'!D$4:D$33,0)),"⚠ CONFLIT")))</f>
        <v/>
      </c>
      <c r="E6" s="52" t="str">
        <f t="array" ref="E6">IF($A6="","",IF(SUMPRODUCT(('J1 - 18 sept'!E$4:E$33=$A6)*1)=0,"",IF(SUMPRODUCT(('J1 - 18 sept'!E$4:E$33=$A6)*1)=1,INDEX('J1 - 18 sept'!$P$4:$P$33,MATCH($A6,'J1 - 18 sept'!E$4:E$33,0)),"⚠ CONFLIT")))</f>
        <v>EDHEC</v>
      </c>
      <c r="F6" s="52" t="str">
        <f t="array" ref="F6">IF($A6="","",IF(SUMPRODUCT(('J1 - 18 sept'!F$4:F$33=$A6)*1)=0,"",IF(SUMPRODUCT(('J1 - 18 sept'!F$4:F$33=$A6)*1)=1,INDEX('J1 - 18 sept'!$P$4:$P$33,MATCH($A6,'J1 - 18 sept'!F$4:F$33,0)),"⚠ CONFLIT")))</f>
        <v/>
      </c>
      <c r="G6" s="52" t="str">
        <f t="array" ref="G6">IF($A6="","",IF(SUMPRODUCT(('J1 - 18 sept'!G$4:G$33=$A6)*1)=0,"",IF(SUMPRODUCT(('J1 - 18 sept'!G$4:G$33=$A6)*1)=1,INDEX('J1 - 18 sept'!$P$4:$P$33,MATCH($A6,'J1 - 18 sept'!G$4:G$33,0)),"⚠ CONFLIT")))</f>
        <v/>
      </c>
      <c r="H6" s="52" t="str">
        <f t="array" ref="H6">IF($A6="","",IF(SUMPRODUCT(('J1 - 18 sept'!H$4:H$33=$A6)*1)=0,"",IF(SUMPRODUCT(('J1 - 18 sept'!H$4:H$33=$A6)*1)=1,INDEX('J1 - 18 sept'!$P$4:$P$33,MATCH($A6,'J1 - 18 sept'!H$4:H$33,0)),"⚠ CONFLIT")))</f>
        <v/>
      </c>
      <c r="I6" s="52" t="str">
        <f t="array" ref="I6">IF($A6="","",IF(SUMPRODUCT(('J1 - 18 sept'!I$4:I$33=$A6)*1)=0,"",IF(SUMPRODUCT(('J1 - 18 sept'!I$4:I$33=$A6)*1)=1,INDEX('J1 - 18 sept'!$P$4:$P$33,MATCH($A6,'J1 - 18 sept'!I$4:I$33,0)),"⚠ CONFLIT")))</f>
        <v/>
      </c>
      <c r="J6" s="52" t="str">
        <f t="array" ref="J6">IF($A6="","",IF(SUMPRODUCT(('J1 - 18 sept'!J$4:J$33=$A6)*1)=0,"",IF(SUMPRODUCT(('J1 - 18 sept'!J$4:J$33=$A6)*1)=1,INDEX('J1 - 18 sept'!$P$4:$P$33,MATCH($A6,'J1 - 18 sept'!J$4:J$33,0)),"⚠ CONFLIT")))</f>
        <v/>
      </c>
      <c r="K6" s="52" t="str">
        <f t="array" ref="K6">IF($A6="","",IF(SUMPRODUCT(('J1 - 18 sept'!K$4:K$33=$A6)*1)=0,"",IF(SUMPRODUCT(('J1 - 18 sept'!K$4:K$33=$A6)*1)=1,INDEX('J1 - 18 sept'!$P$4:$P$33,MATCH($A6,'J1 - 18 sept'!K$4:K$33,0)),"⚠ CONFLIT")))</f>
        <v/>
      </c>
      <c r="L6" s="52" t="str">
        <f t="array" ref="L6">IF($A6="","",IF(SUMPRODUCT(('J1 - 18 sept'!L$4:L$33=$A6)*1)=0,"",IF(SUMPRODUCT(('J1 - 18 sept'!L$4:L$33=$A6)*1)=1,INDEX('J1 - 18 sept'!$P$4:$P$33,MATCH($A6,'J1 - 18 sept'!L$4:L$33,0)),"⚠ CONFLIT")))</f>
        <v/>
      </c>
      <c r="M6" s="52" t="str">
        <f t="array" ref="M6">IF($A6="","",IF(SUMPRODUCT(('J1 - 18 sept'!M$4:M$33=$A6)*1)=0,"",IF(SUMPRODUCT(('J1 - 18 sept'!M$4:M$33=$A6)*1)=1,INDEX('J1 - 18 sept'!$P$4:$P$33,MATCH($A6,'J1 - 18 sept'!M$4:M$33,0)),"⚠ CONFLIT")))</f>
        <v/>
      </c>
      <c r="N6" s="52" t="str">
        <f t="array" ref="N6">IF($A6="","",IF(SUMPRODUCT(('J1 - 18 sept'!N$4:N$33=$A6)*1)=0,"",IF(SUMPRODUCT(('J1 - 18 sept'!N$4:N$33=$A6)*1)=1,INDEX('J1 - 18 sept'!$P$4:$P$33,MATCH($A6,'J1 - 18 sept'!N$4:N$33,0)),"⚠ CONFLIT")))</f>
        <v/>
      </c>
      <c r="P6" s="52" t="str">
        <f t="array" ref="P6">IF($A6="","",IF(SUMPRODUCT(('J2 - 19 sept'!C$4:C$33=$A6)*1)=0,"",IF(SUMPRODUCT(('J2 - 19 sept'!C$4:C$33=$A6)*1)=1,INDEX('J2 - 19 sept'!$P$4:$P$33,MATCH($A6,'J2 - 19 sept'!C$4:C$33,0)),"⚠ CONFLIT")))</f>
        <v/>
      </c>
      <c r="Q6" s="52" t="str">
        <f t="array" ref="Q6">IF($A6="","",IF(SUMPRODUCT(('J2 - 19 sept'!D$4:D$33=$A6)*1)=0,"",IF(SUMPRODUCT(('J2 - 19 sept'!D$4:D$33=$A6)*1)=1,INDEX('J2 - 19 sept'!$P$4:$P$33,MATCH($A6,'J2 - 19 sept'!D$4:D$33,0)),"⚠ CONFLIT")))</f>
        <v/>
      </c>
      <c r="R6" s="52" t="str">
        <f t="array" ref="R6">IF($A6="","",IF(SUMPRODUCT(('J2 - 19 sept'!E$4:E$33=$A6)*1)=0,"",IF(SUMPRODUCT(('J2 - 19 sept'!E$4:E$33=$A6)*1)=1,INDEX('J2 - 19 sept'!$P$4:$P$33,MATCH($A6,'J2 - 19 sept'!E$4:E$33,0)),"⚠ CONFLIT")))</f>
        <v/>
      </c>
      <c r="S6" s="52" t="str">
        <f t="array" ref="S6">IF($A6="","",IF(SUMPRODUCT(('J2 - 19 sept'!F$4:F$33=$A6)*1)=0,"",IF(SUMPRODUCT(('J2 - 19 sept'!F$4:F$33=$A6)*1)=1,INDEX('J2 - 19 sept'!$P$4:$P$33,MATCH($A6,'J2 - 19 sept'!F$4:F$33,0)),"⚠ CONFLIT")))</f>
        <v/>
      </c>
      <c r="T6" s="52" t="str">
        <f t="array" ref="T6">IF($A6="","",IF(SUMPRODUCT(('J2 - 19 sept'!G$4:G$33=$A6)*1)=0,"",IF(SUMPRODUCT(('J2 - 19 sept'!G$4:G$33=$A6)*1)=1,INDEX('J2 - 19 sept'!$P$4:$P$33,MATCH($A6,'J2 - 19 sept'!G$4:G$33,0)),"⚠ CONFLIT")))</f>
        <v/>
      </c>
      <c r="U6" s="52" t="str">
        <f t="array" ref="U6">IF($A6="","",IF(SUMPRODUCT(('J2 - 19 sept'!H$4:H$33=$A6)*1)=0,"",IF(SUMPRODUCT(('J2 - 19 sept'!H$4:H$33=$A6)*1)=1,INDEX('J2 - 19 sept'!$P$4:$P$33,MATCH($A6,'J2 - 19 sept'!H$4:H$33,0)),"⚠ CONFLIT")))</f>
        <v/>
      </c>
      <c r="V6" s="52" t="str">
        <f t="array" ref="V6">IF($A6="","",IF(SUMPRODUCT(('J2 - 19 sept'!I$4:I$33=$A6)*1)=0,"",IF(SUMPRODUCT(('J2 - 19 sept'!I$4:I$33=$A6)*1)=1,INDEX('J2 - 19 sept'!$P$4:$P$33,MATCH($A6,'J2 - 19 sept'!I$4:I$33,0)),"⚠ CONFLIT")))</f>
        <v/>
      </c>
      <c r="W6" s="52" t="str">
        <f t="array" ref="W6">IF($A6="","",IF(SUMPRODUCT(('J2 - 19 sept'!J$4:J$33=$A6)*1)=0,"",IF(SUMPRODUCT(('J2 - 19 sept'!J$4:J$33=$A6)*1)=1,INDEX('J2 - 19 sept'!$P$4:$P$33,MATCH($A6,'J2 - 19 sept'!J$4:J$33,0)),"⚠ CONFLIT")))</f>
        <v/>
      </c>
      <c r="X6" s="52" t="str">
        <f t="array" ref="X6">IF($A6="","",IF(SUMPRODUCT(('J2 - 19 sept'!K$4:K$33=$A6)*1)=0,"",IF(SUMPRODUCT(('J2 - 19 sept'!K$4:K$33=$A6)*1)=1,INDEX('J2 - 19 sept'!$P$4:$P$33,MATCH($A6,'J2 - 19 sept'!K$4:K$33,0)),"⚠ CONFLIT")))</f>
        <v/>
      </c>
      <c r="Y6" s="52" t="str">
        <f t="array" ref="Y6">IF($A6="","",IF(SUMPRODUCT(('J2 - 19 sept'!L$4:L$33=$A6)*1)=0,"",IF(SUMPRODUCT(('J2 - 19 sept'!L$4:L$33=$A6)*1)=1,INDEX('J2 - 19 sept'!$P$4:$P$33,MATCH($A6,'J2 - 19 sept'!L$4:L$33,0)),"⚠ CONFLIT")))</f>
        <v/>
      </c>
      <c r="Z6" s="52" t="str">
        <f t="array" ref="Z6">IF($A6="","",IF(SUMPRODUCT(('J2 - 19 sept'!M$4:M$33=$A6)*1)=0,"",IF(SUMPRODUCT(('J2 - 19 sept'!M$4:M$33=$A6)*1)=1,INDEX('J2 - 19 sept'!$P$4:$P$33,MATCH($A6,'J2 - 19 sept'!M$4:M$33,0)),"⚠ CONFLIT")))</f>
        <v/>
      </c>
      <c r="AA6" s="52" t="str">
        <f t="array" ref="AA6">IF($A6="","",IF(SUMPRODUCT(('J2 - 19 sept'!N$4:N$33=$A6)*1)=0,"",IF(SUMPRODUCT(('J2 - 19 sept'!N$4:N$33=$A6)*1)=1,INDEX('J2 - 19 sept'!$P$4:$P$33,MATCH($A6,'J2 - 19 sept'!N$4:N$33,0)),"⚠ CONFLIT")))</f>
        <v/>
      </c>
    </row>
    <row r="7">
      <c r="A7" s="50" t="str">
        <f>IF('Paramètres'!$B$18="","",'Paramètres'!$B$18)</f>
        <v>Maelle</v>
      </c>
      <c r="B7" s="51" t="str">
        <f>IF('Paramètres'!$C$18="","",'Paramètres'!$C$18)</f>
        <v/>
      </c>
      <c r="C7" s="52" t="str">
        <f t="array" ref="C7">IF($A7="","",IF(SUMPRODUCT(('J1 - 18 sept'!C$4:C$33=$A7)*1)=0,"",IF(SUMPRODUCT(('J1 - 18 sept'!C$4:C$33=$A7)*1)=1,INDEX('J1 - 18 sept'!$P$4:$P$33,MATCH($A7,'J1 - 18 sept'!C$4:C$33,0)),"⚠ CONFLIT")))</f>
        <v/>
      </c>
      <c r="D7" s="52" t="str">
        <f t="array" ref="D7">IF($A7="","",IF(SUMPRODUCT(('J1 - 18 sept'!D$4:D$33=$A7)*1)=0,"",IF(SUMPRODUCT(('J1 - 18 sept'!D$4:D$33=$A7)*1)=1,INDEX('J1 - 18 sept'!$P$4:$P$33,MATCH($A7,'J1 - 18 sept'!D$4:D$33,0)),"⚠ CONFLIT")))</f>
        <v/>
      </c>
      <c r="E7" s="52" t="str">
        <f t="array" ref="E7">IF($A7="","",IF(SUMPRODUCT(('J1 - 18 sept'!E$4:E$33=$A7)*1)=0,"",IF(SUMPRODUCT(('J1 - 18 sept'!E$4:E$33=$A7)*1)=1,INDEX('J1 - 18 sept'!$P$4:$P$33,MATCH($A7,'J1 - 18 sept'!E$4:E$33,0)),"⚠ CONFLIT")))</f>
        <v>EDHEC</v>
      </c>
      <c r="F7" s="52" t="str">
        <f t="array" ref="F7">IF($A7="","",IF(SUMPRODUCT(('J1 - 18 sept'!F$4:F$33=$A7)*1)=0,"",IF(SUMPRODUCT(('J1 - 18 sept'!F$4:F$33=$A7)*1)=1,INDEX('J1 - 18 sept'!$P$4:$P$33,MATCH($A7,'J1 - 18 sept'!F$4:F$33,0)),"⚠ CONFLIT")))</f>
        <v/>
      </c>
      <c r="G7" s="52" t="str">
        <f t="array" ref="G7">IF($A7="","",IF(SUMPRODUCT(('J1 - 18 sept'!G$4:G$33=$A7)*1)=0,"",IF(SUMPRODUCT(('J1 - 18 sept'!G$4:G$33=$A7)*1)=1,INDEX('J1 - 18 sept'!$P$4:$P$33,MATCH($A7,'J1 - 18 sept'!G$4:G$33,0)),"⚠ CONFLIT")))</f>
        <v/>
      </c>
      <c r="H7" s="52" t="str">
        <f t="array" ref="H7">IF($A7="","",IF(SUMPRODUCT(('J1 - 18 sept'!H$4:H$33=$A7)*1)=0,"",IF(SUMPRODUCT(('J1 - 18 sept'!H$4:H$33=$A7)*1)=1,INDEX('J1 - 18 sept'!$P$4:$P$33,MATCH($A7,'J1 - 18 sept'!H$4:H$33,0)),"⚠ CONFLIT")))</f>
        <v/>
      </c>
      <c r="I7" s="52" t="str">
        <f t="array" ref="I7">IF($A7="","",IF(SUMPRODUCT(('J1 - 18 sept'!I$4:I$33=$A7)*1)=0,"",IF(SUMPRODUCT(('J1 - 18 sept'!I$4:I$33=$A7)*1)=1,INDEX('J1 - 18 sept'!$P$4:$P$33,MATCH($A7,'J1 - 18 sept'!I$4:I$33,0)),"⚠ CONFLIT")))</f>
        <v/>
      </c>
      <c r="J7" s="52" t="str">
        <f t="array" ref="J7">IF($A7="","",IF(SUMPRODUCT(('J1 - 18 sept'!J$4:J$33=$A7)*1)=0,"",IF(SUMPRODUCT(('J1 - 18 sept'!J$4:J$33=$A7)*1)=1,INDEX('J1 - 18 sept'!$P$4:$P$33,MATCH($A7,'J1 - 18 sept'!J$4:J$33,0)),"⚠ CONFLIT")))</f>
        <v/>
      </c>
      <c r="K7" s="52" t="str">
        <f t="array" ref="K7">IF($A7="","",IF(SUMPRODUCT(('J1 - 18 sept'!K$4:K$33=$A7)*1)=0,"",IF(SUMPRODUCT(('J1 - 18 sept'!K$4:K$33=$A7)*1)=1,INDEX('J1 - 18 sept'!$P$4:$P$33,MATCH($A7,'J1 - 18 sept'!K$4:K$33,0)),"⚠ CONFLIT")))</f>
        <v/>
      </c>
      <c r="L7" s="52" t="str">
        <f t="array" ref="L7">IF($A7="","",IF(SUMPRODUCT(('J1 - 18 sept'!L$4:L$33=$A7)*1)=0,"",IF(SUMPRODUCT(('J1 - 18 sept'!L$4:L$33=$A7)*1)=1,INDEX('J1 - 18 sept'!$P$4:$P$33,MATCH($A7,'J1 - 18 sept'!L$4:L$33,0)),"⚠ CONFLIT")))</f>
        <v/>
      </c>
      <c r="M7" s="52" t="str">
        <f t="array" ref="M7">IF($A7="","",IF(SUMPRODUCT(('J1 - 18 sept'!M$4:M$33=$A7)*1)=0,"",IF(SUMPRODUCT(('J1 - 18 sept'!M$4:M$33=$A7)*1)=1,INDEX('J1 - 18 sept'!$P$4:$P$33,MATCH($A7,'J1 - 18 sept'!M$4:M$33,0)),"⚠ CONFLIT")))</f>
        <v/>
      </c>
      <c r="N7" s="52" t="str">
        <f t="array" ref="N7">IF($A7="","",IF(SUMPRODUCT(('J1 - 18 sept'!N$4:N$33=$A7)*1)=0,"",IF(SUMPRODUCT(('J1 - 18 sept'!N$4:N$33=$A7)*1)=1,INDEX('J1 - 18 sept'!$P$4:$P$33,MATCH($A7,'J1 - 18 sept'!N$4:N$33,0)),"⚠ CONFLIT")))</f>
        <v/>
      </c>
      <c r="P7" s="52" t="str">
        <f t="array" ref="P7">IF($A7="","",IF(SUMPRODUCT(('J2 - 19 sept'!C$4:C$33=$A7)*1)=0,"",IF(SUMPRODUCT(('J2 - 19 sept'!C$4:C$33=$A7)*1)=1,INDEX('J2 - 19 sept'!$P$4:$P$33,MATCH($A7,'J2 - 19 sept'!C$4:C$33,0)),"⚠ CONFLIT")))</f>
        <v/>
      </c>
      <c r="Q7" s="52" t="str">
        <f t="array" ref="Q7">IF($A7="","",IF(SUMPRODUCT(('J2 - 19 sept'!D$4:D$33=$A7)*1)=0,"",IF(SUMPRODUCT(('J2 - 19 sept'!D$4:D$33=$A7)*1)=1,INDEX('J2 - 19 sept'!$P$4:$P$33,MATCH($A7,'J2 - 19 sept'!D$4:D$33,0)),"⚠ CONFLIT")))</f>
        <v/>
      </c>
      <c r="R7" s="52" t="str">
        <f t="array" ref="R7">IF($A7="","",IF(SUMPRODUCT(('J2 - 19 sept'!E$4:E$33=$A7)*1)=0,"",IF(SUMPRODUCT(('J2 - 19 sept'!E$4:E$33=$A7)*1)=1,INDEX('J2 - 19 sept'!$P$4:$P$33,MATCH($A7,'J2 - 19 sept'!E$4:E$33,0)),"⚠ CONFLIT")))</f>
        <v/>
      </c>
      <c r="S7" s="52" t="str">
        <f t="array" ref="S7">IF($A7="","",IF(SUMPRODUCT(('J2 - 19 sept'!F$4:F$33=$A7)*1)=0,"",IF(SUMPRODUCT(('J2 - 19 sept'!F$4:F$33=$A7)*1)=1,INDEX('J2 - 19 sept'!$P$4:$P$33,MATCH($A7,'J2 - 19 sept'!F$4:F$33,0)),"⚠ CONFLIT")))</f>
        <v/>
      </c>
      <c r="T7" s="52" t="str">
        <f t="array" ref="T7">IF($A7="","",IF(SUMPRODUCT(('J2 - 19 sept'!G$4:G$33=$A7)*1)=0,"",IF(SUMPRODUCT(('J2 - 19 sept'!G$4:G$33=$A7)*1)=1,INDEX('J2 - 19 sept'!$P$4:$P$33,MATCH($A7,'J2 - 19 sept'!G$4:G$33,0)),"⚠ CONFLIT")))</f>
        <v/>
      </c>
      <c r="U7" s="52" t="str">
        <f t="array" ref="U7">IF($A7="","",IF(SUMPRODUCT(('J2 - 19 sept'!H$4:H$33=$A7)*1)=0,"",IF(SUMPRODUCT(('J2 - 19 sept'!H$4:H$33=$A7)*1)=1,INDEX('J2 - 19 sept'!$P$4:$P$33,MATCH($A7,'J2 - 19 sept'!H$4:H$33,0)),"⚠ CONFLIT")))</f>
        <v/>
      </c>
      <c r="V7" s="52" t="str">
        <f t="array" ref="V7">IF($A7="","",IF(SUMPRODUCT(('J2 - 19 sept'!I$4:I$33=$A7)*1)=0,"",IF(SUMPRODUCT(('J2 - 19 sept'!I$4:I$33=$A7)*1)=1,INDEX('J2 - 19 sept'!$P$4:$P$33,MATCH($A7,'J2 - 19 sept'!I$4:I$33,0)),"⚠ CONFLIT")))</f>
        <v/>
      </c>
      <c r="W7" s="52" t="str">
        <f t="array" ref="W7">IF($A7="","",IF(SUMPRODUCT(('J2 - 19 sept'!J$4:J$33=$A7)*1)=0,"",IF(SUMPRODUCT(('J2 - 19 sept'!J$4:J$33=$A7)*1)=1,INDEX('J2 - 19 sept'!$P$4:$P$33,MATCH($A7,'J2 - 19 sept'!J$4:J$33,0)),"⚠ CONFLIT")))</f>
        <v/>
      </c>
      <c r="X7" s="52" t="str">
        <f t="array" ref="X7">IF($A7="","",IF(SUMPRODUCT(('J2 - 19 sept'!K$4:K$33=$A7)*1)=0,"",IF(SUMPRODUCT(('J2 - 19 sept'!K$4:K$33=$A7)*1)=1,INDEX('J2 - 19 sept'!$P$4:$P$33,MATCH($A7,'J2 - 19 sept'!K$4:K$33,0)),"⚠ CONFLIT")))</f>
        <v/>
      </c>
      <c r="Y7" s="52" t="str">
        <f t="array" ref="Y7">IF($A7="","",IF(SUMPRODUCT(('J2 - 19 sept'!L$4:L$33=$A7)*1)=0,"",IF(SUMPRODUCT(('J2 - 19 sept'!L$4:L$33=$A7)*1)=1,INDEX('J2 - 19 sept'!$P$4:$P$33,MATCH($A7,'J2 - 19 sept'!L$4:L$33,0)),"⚠ CONFLIT")))</f>
        <v/>
      </c>
      <c r="Z7" s="52" t="str">
        <f t="array" ref="Z7">IF($A7="","",IF(SUMPRODUCT(('J2 - 19 sept'!M$4:M$33=$A7)*1)=0,"",IF(SUMPRODUCT(('J2 - 19 sept'!M$4:M$33=$A7)*1)=1,INDEX('J2 - 19 sept'!$P$4:$P$33,MATCH($A7,'J2 - 19 sept'!M$4:M$33,0)),"⚠ CONFLIT")))</f>
        <v/>
      </c>
      <c r="AA7" s="52" t="str">
        <f t="array" ref="AA7">IF($A7="","",IF(SUMPRODUCT(('J2 - 19 sept'!N$4:N$33=$A7)*1)=0,"",IF(SUMPRODUCT(('J2 - 19 sept'!N$4:N$33=$A7)*1)=1,INDEX('J2 - 19 sept'!$P$4:$P$33,MATCH($A7,'J2 - 19 sept'!N$4:N$33,0)),"⚠ CONFLIT")))</f>
        <v/>
      </c>
    </row>
    <row r="8">
      <c r="A8" s="50" t="str">
        <f>IF('Paramètres'!$B$19="","",'Paramètres'!$B$19)</f>
        <v>Marilyne</v>
      </c>
      <c r="B8" s="51" t="str">
        <f>IF('Paramètres'!$C$19="","",'Paramètres'!$C$19)</f>
        <v/>
      </c>
      <c r="C8" s="52" t="str">
        <f t="array" ref="C8">IF($A8="","",IF(SUMPRODUCT(('J1 - 18 sept'!C$4:C$33=$A8)*1)=0,"",IF(SUMPRODUCT(('J1 - 18 sept'!C$4:C$33=$A8)*1)=1,INDEX('J1 - 18 sept'!$P$4:$P$33,MATCH($A8,'J1 - 18 sept'!C$4:C$33,0)),"⚠ CONFLIT")))</f>
        <v/>
      </c>
      <c r="D8" s="52" t="str">
        <f t="array" ref="D8">IF($A8="","",IF(SUMPRODUCT(('J1 - 18 sept'!D$4:D$33=$A8)*1)=0,"",IF(SUMPRODUCT(('J1 - 18 sept'!D$4:D$33=$A8)*1)=1,INDEX('J1 - 18 sept'!$P$4:$P$33,MATCH($A8,'J1 - 18 sept'!D$4:D$33,0)),"⚠ CONFLIT")))</f>
        <v/>
      </c>
      <c r="E8" s="52" t="str">
        <f t="array" ref="E8">IF($A8="","",IF(SUMPRODUCT(('J1 - 18 sept'!E$4:E$33=$A8)*1)=0,"",IF(SUMPRODUCT(('J1 - 18 sept'!E$4:E$33=$A8)*1)=1,INDEX('J1 - 18 sept'!$P$4:$P$33,MATCH($A8,'J1 - 18 sept'!E$4:E$33,0)),"⚠ CONFLIT")))</f>
        <v>EDHEC</v>
      </c>
      <c r="F8" s="52" t="str">
        <f t="array" ref="F8">IF($A8="","",IF(SUMPRODUCT(('J1 - 18 sept'!F$4:F$33=$A8)*1)=0,"",IF(SUMPRODUCT(('J1 - 18 sept'!F$4:F$33=$A8)*1)=1,INDEX('J1 - 18 sept'!$P$4:$P$33,MATCH($A8,'J1 - 18 sept'!F$4:F$33,0)),"⚠ CONFLIT")))</f>
        <v/>
      </c>
      <c r="G8" s="52" t="str">
        <f t="array" ref="G8">IF($A8="","",IF(SUMPRODUCT(('J1 - 18 sept'!G$4:G$33=$A8)*1)=0,"",IF(SUMPRODUCT(('J1 - 18 sept'!G$4:G$33=$A8)*1)=1,INDEX('J1 - 18 sept'!$P$4:$P$33,MATCH($A8,'J1 - 18 sept'!G$4:G$33,0)),"⚠ CONFLIT")))</f>
        <v/>
      </c>
      <c r="H8" s="52" t="str">
        <f t="array" ref="H8">IF($A8="","",IF(SUMPRODUCT(('J1 - 18 sept'!H$4:H$33=$A8)*1)=0,"",IF(SUMPRODUCT(('J1 - 18 sept'!H$4:H$33=$A8)*1)=1,INDEX('J1 - 18 sept'!$P$4:$P$33,MATCH($A8,'J1 - 18 sept'!H$4:H$33,0)),"⚠ CONFLIT")))</f>
        <v/>
      </c>
      <c r="I8" s="52" t="str">
        <f t="array" ref="I8">IF($A8="","",IF(SUMPRODUCT(('J1 - 18 sept'!I$4:I$33=$A8)*1)=0,"",IF(SUMPRODUCT(('J1 - 18 sept'!I$4:I$33=$A8)*1)=1,INDEX('J1 - 18 sept'!$P$4:$P$33,MATCH($A8,'J1 - 18 sept'!I$4:I$33,0)),"⚠ CONFLIT")))</f>
        <v/>
      </c>
      <c r="J8" s="52" t="str">
        <f t="array" ref="J8">IF($A8="","",IF(SUMPRODUCT(('J1 - 18 sept'!J$4:J$33=$A8)*1)=0,"",IF(SUMPRODUCT(('J1 - 18 sept'!J$4:J$33=$A8)*1)=1,INDEX('J1 - 18 sept'!$P$4:$P$33,MATCH($A8,'J1 - 18 sept'!J$4:J$33,0)),"⚠ CONFLIT")))</f>
        <v/>
      </c>
      <c r="K8" s="52" t="str">
        <f t="array" ref="K8">IF($A8="","",IF(SUMPRODUCT(('J1 - 18 sept'!K$4:K$33=$A8)*1)=0,"",IF(SUMPRODUCT(('J1 - 18 sept'!K$4:K$33=$A8)*1)=1,INDEX('J1 - 18 sept'!$P$4:$P$33,MATCH($A8,'J1 - 18 sept'!K$4:K$33,0)),"⚠ CONFLIT")))</f>
        <v/>
      </c>
      <c r="L8" s="52" t="str">
        <f t="array" ref="L8">IF($A8="","",IF(SUMPRODUCT(('J1 - 18 sept'!L$4:L$33=$A8)*1)=0,"",IF(SUMPRODUCT(('J1 - 18 sept'!L$4:L$33=$A8)*1)=1,INDEX('J1 - 18 sept'!$P$4:$P$33,MATCH($A8,'J1 - 18 sept'!L$4:L$33,0)),"⚠ CONFLIT")))</f>
        <v/>
      </c>
      <c r="M8" s="52" t="str">
        <f t="array" ref="M8">IF($A8="","",IF(SUMPRODUCT(('J1 - 18 sept'!M$4:M$33=$A8)*1)=0,"",IF(SUMPRODUCT(('J1 - 18 sept'!M$4:M$33=$A8)*1)=1,INDEX('J1 - 18 sept'!$P$4:$P$33,MATCH($A8,'J1 - 18 sept'!M$4:M$33,0)),"⚠ CONFLIT")))</f>
        <v/>
      </c>
      <c r="N8" s="52" t="str">
        <f t="array" ref="N8">IF($A8="","",IF(SUMPRODUCT(('J1 - 18 sept'!N$4:N$33=$A8)*1)=0,"",IF(SUMPRODUCT(('J1 - 18 sept'!N$4:N$33=$A8)*1)=1,INDEX('J1 - 18 sept'!$P$4:$P$33,MATCH($A8,'J1 - 18 sept'!N$4:N$33,0)),"⚠ CONFLIT")))</f>
        <v/>
      </c>
      <c r="P8" s="52" t="str">
        <f t="array" ref="P8">IF($A8="","",IF(SUMPRODUCT(('J2 - 19 sept'!C$4:C$33=$A8)*1)=0,"",IF(SUMPRODUCT(('J2 - 19 sept'!C$4:C$33=$A8)*1)=1,INDEX('J2 - 19 sept'!$P$4:$P$33,MATCH($A8,'J2 - 19 sept'!C$4:C$33,0)),"⚠ CONFLIT")))</f>
        <v/>
      </c>
      <c r="Q8" s="52" t="str">
        <f t="array" ref="Q8">IF($A8="","",IF(SUMPRODUCT(('J2 - 19 sept'!D$4:D$33=$A8)*1)=0,"",IF(SUMPRODUCT(('J2 - 19 sept'!D$4:D$33=$A8)*1)=1,INDEX('J2 - 19 sept'!$P$4:$P$33,MATCH($A8,'J2 - 19 sept'!D$4:D$33,0)),"⚠ CONFLIT")))</f>
        <v/>
      </c>
      <c r="R8" s="52" t="str">
        <f t="array" ref="R8">IF($A8="","",IF(SUMPRODUCT(('J2 - 19 sept'!E$4:E$33=$A8)*1)=0,"",IF(SUMPRODUCT(('J2 - 19 sept'!E$4:E$33=$A8)*1)=1,INDEX('J2 - 19 sept'!$P$4:$P$33,MATCH($A8,'J2 - 19 sept'!E$4:E$33,0)),"⚠ CONFLIT")))</f>
        <v/>
      </c>
      <c r="S8" s="52" t="str">
        <f t="array" ref="S8">IF($A8="","",IF(SUMPRODUCT(('J2 - 19 sept'!F$4:F$33=$A8)*1)=0,"",IF(SUMPRODUCT(('J2 - 19 sept'!F$4:F$33=$A8)*1)=1,INDEX('J2 - 19 sept'!$P$4:$P$33,MATCH($A8,'J2 - 19 sept'!F$4:F$33,0)),"⚠ CONFLIT")))</f>
        <v/>
      </c>
      <c r="T8" s="52" t="str">
        <f t="array" ref="T8">IF($A8="","",IF(SUMPRODUCT(('J2 - 19 sept'!G$4:G$33=$A8)*1)=0,"",IF(SUMPRODUCT(('J2 - 19 sept'!G$4:G$33=$A8)*1)=1,INDEX('J2 - 19 sept'!$P$4:$P$33,MATCH($A8,'J2 - 19 sept'!G$4:G$33,0)),"⚠ CONFLIT")))</f>
        <v/>
      </c>
      <c r="U8" s="52" t="str">
        <f t="array" ref="U8">IF($A8="","",IF(SUMPRODUCT(('J2 - 19 sept'!H$4:H$33=$A8)*1)=0,"",IF(SUMPRODUCT(('J2 - 19 sept'!H$4:H$33=$A8)*1)=1,INDEX('J2 - 19 sept'!$P$4:$P$33,MATCH($A8,'J2 - 19 sept'!H$4:H$33,0)),"⚠ CONFLIT")))</f>
        <v/>
      </c>
      <c r="V8" s="52" t="str">
        <f t="array" ref="V8">IF($A8="","",IF(SUMPRODUCT(('J2 - 19 sept'!I$4:I$33=$A8)*1)=0,"",IF(SUMPRODUCT(('J2 - 19 sept'!I$4:I$33=$A8)*1)=1,INDEX('J2 - 19 sept'!$P$4:$P$33,MATCH($A8,'J2 - 19 sept'!I$4:I$33,0)),"⚠ CONFLIT")))</f>
        <v/>
      </c>
      <c r="W8" s="52" t="str">
        <f t="array" ref="W8">IF($A8="","",IF(SUMPRODUCT(('J2 - 19 sept'!J$4:J$33=$A8)*1)=0,"",IF(SUMPRODUCT(('J2 - 19 sept'!J$4:J$33=$A8)*1)=1,INDEX('J2 - 19 sept'!$P$4:$P$33,MATCH($A8,'J2 - 19 sept'!J$4:J$33,0)),"⚠ CONFLIT")))</f>
        <v/>
      </c>
      <c r="X8" s="52" t="str">
        <f t="array" ref="X8">IF($A8="","",IF(SUMPRODUCT(('J2 - 19 sept'!K$4:K$33=$A8)*1)=0,"",IF(SUMPRODUCT(('J2 - 19 sept'!K$4:K$33=$A8)*1)=1,INDEX('J2 - 19 sept'!$P$4:$P$33,MATCH($A8,'J2 - 19 sept'!K$4:K$33,0)),"⚠ CONFLIT")))</f>
        <v/>
      </c>
      <c r="Y8" s="52" t="str">
        <f t="array" ref="Y8">IF($A8="","",IF(SUMPRODUCT(('J2 - 19 sept'!L$4:L$33=$A8)*1)=0,"",IF(SUMPRODUCT(('J2 - 19 sept'!L$4:L$33=$A8)*1)=1,INDEX('J2 - 19 sept'!$P$4:$P$33,MATCH($A8,'J2 - 19 sept'!L$4:L$33,0)),"⚠ CONFLIT")))</f>
        <v/>
      </c>
      <c r="Z8" s="52" t="str">
        <f t="array" ref="Z8">IF($A8="","",IF(SUMPRODUCT(('J2 - 19 sept'!M$4:M$33=$A8)*1)=0,"",IF(SUMPRODUCT(('J2 - 19 sept'!M$4:M$33=$A8)*1)=1,INDEX('J2 - 19 sept'!$P$4:$P$33,MATCH($A8,'J2 - 19 sept'!M$4:M$33,0)),"⚠ CONFLIT")))</f>
        <v/>
      </c>
      <c r="AA8" s="52" t="str">
        <f t="array" ref="AA8">IF($A8="","",IF(SUMPRODUCT(('J2 - 19 sept'!N$4:N$33=$A8)*1)=0,"",IF(SUMPRODUCT(('J2 - 19 sept'!N$4:N$33=$A8)*1)=1,INDEX('J2 - 19 sept'!$P$4:$P$33,MATCH($A8,'J2 - 19 sept'!N$4:N$33,0)),"⚠ CONFLIT")))</f>
        <v/>
      </c>
    </row>
    <row r="9">
      <c r="A9" s="50" t="str">
        <f>IF('Paramètres'!$B$20="","",'Paramètres'!$B$20)</f>
        <v>Zoé</v>
      </c>
      <c r="B9" s="51" t="str">
        <f>IF('Paramètres'!$C$20="","",'Paramètres'!$C$20)</f>
        <v/>
      </c>
      <c r="C9" s="52" t="str">
        <f t="array" ref="C9">IF($A9="","",IF(SUMPRODUCT(('J1 - 18 sept'!C$4:C$33=$A9)*1)=0,"",IF(SUMPRODUCT(('J1 - 18 sept'!C$4:C$33=$A9)*1)=1,INDEX('J1 - 18 sept'!$P$4:$P$33,MATCH($A9,'J1 - 18 sept'!C$4:C$33,0)),"⚠ CONFLIT")))</f>
        <v/>
      </c>
      <c r="D9" s="52" t="str">
        <f t="array" ref="D9">IF($A9="","",IF(SUMPRODUCT(('J1 - 18 sept'!D$4:D$33=$A9)*1)=0,"",IF(SUMPRODUCT(('J1 - 18 sept'!D$4:D$33=$A9)*1)=1,INDEX('J1 - 18 sept'!$P$4:$P$33,MATCH($A9,'J1 - 18 sept'!D$4:D$33,0)),"⚠ CONFLIT")))</f>
        <v/>
      </c>
      <c r="E9" s="52" t="str">
        <f t="array" ref="E9">IF($A9="","",IF(SUMPRODUCT(('J1 - 18 sept'!E$4:E$33=$A9)*1)=0,"",IF(SUMPRODUCT(('J1 - 18 sept'!E$4:E$33=$A9)*1)=1,INDEX('J1 - 18 sept'!$P$4:$P$33,MATCH($A9,'J1 - 18 sept'!E$4:E$33,0)),"⚠ CONFLIT")))</f>
        <v/>
      </c>
      <c r="F9" s="52" t="str">
        <f t="array" ref="F9">IF($A9="","",IF(SUMPRODUCT(('J1 - 18 sept'!F$4:F$33=$A9)*1)=0,"",IF(SUMPRODUCT(('J1 - 18 sept'!F$4:F$33=$A9)*1)=1,INDEX('J1 - 18 sept'!$P$4:$P$33,MATCH($A9,'J1 - 18 sept'!F$4:F$33,0)),"⚠ CONFLIT")))</f>
        <v/>
      </c>
      <c r="G9" s="52" t="str">
        <f t="array" ref="G9">IF($A9="","",IF(SUMPRODUCT(('J1 - 18 sept'!G$4:G$33=$A9)*1)=0,"",IF(SUMPRODUCT(('J1 - 18 sept'!G$4:G$33=$A9)*1)=1,INDEX('J1 - 18 sept'!$P$4:$P$33,MATCH($A9,'J1 - 18 sept'!G$4:G$33,0)),"⚠ CONFLIT")))</f>
        <v/>
      </c>
      <c r="H9" s="52" t="str">
        <f t="array" ref="H9">IF($A9="","",IF(SUMPRODUCT(('J1 - 18 sept'!H$4:H$33=$A9)*1)=0,"",IF(SUMPRODUCT(('J1 - 18 sept'!H$4:H$33=$A9)*1)=1,INDEX('J1 - 18 sept'!$P$4:$P$33,MATCH($A9,'J1 - 18 sept'!H$4:H$33,0)),"⚠ CONFLIT")))</f>
        <v/>
      </c>
      <c r="I9" s="52" t="str">
        <f t="array" ref="I9">IF($A9="","",IF(SUMPRODUCT(('J1 - 18 sept'!I$4:I$33=$A9)*1)=0,"",IF(SUMPRODUCT(('J1 - 18 sept'!I$4:I$33=$A9)*1)=1,INDEX('J1 - 18 sept'!$P$4:$P$33,MATCH($A9,'J1 - 18 sept'!I$4:I$33,0)),"⚠ CONFLIT")))</f>
        <v/>
      </c>
      <c r="J9" s="52" t="str">
        <f t="array" ref="J9">IF($A9="","",IF(SUMPRODUCT(('J1 - 18 sept'!J$4:J$33=$A9)*1)=0,"",IF(SUMPRODUCT(('J1 - 18 sept'!J$4:J$33=$A9)*1)=1,INDEX('J1 - 18 sept'!$P$4:$P$33,MATCH($A9,'J1 - 18 sept'!J$4:J$33,0)),"⚠ CONFLIT")))</f>
        <v/>
      </c>
      <c r="K9" s="52" t="str">
        <f t="array" ref="K9">IF($A9="","",IF(SUMPRODUCT(('J1 - 18 sept'!K$4:K$33=$A9)*1)=0,"",IF(SUMPRODUCT(('J1 - 18 sept'!K$4:K$33=$A9)*1)=1,INDEX('J1 - 18 sept'!$P$4:$P$33,MATCH($A9,'J1 - 18 sept'!K$4:K$33,0)),"⚠ CONFLIT")))</f>
        <v/>
      </c>
      <c r="L9" s="52" t="str">
        <f t="array" ref="L9">IF($A9="","",IF(SUMPRODUCT(('J1 - 18 sept'!L$4:L$33=$A9)*1)=0,"",IF(SUMPRODUCT(('J1 - 18 sept'!L$4:L$33=$A9)*1)=1,INDEX('J1 - 18 sept'!$P$4:$P$33,MATCH($A9,'J1 - 18 sept'!L$4:L$33,0)),"⚠ CONFLIT")))</f>
        <v/>
      </c>
      <c r="M9" s="52" t="str">
        <f t="array" ref="M9">IF($A9="","",IF(SUMPRODUCT(('J1 - 18 sept'!M$4:M$33=$A9)*1)=0,"",IF(SUMPRODUCT(('J1 - 18 sept'!M$4:M$33=$A9)*1)=1,INDEX('J1 - 18 sept'!$P$4:$P$33,MATCH($A9,'J1 - 18 sept'!M$4:M$33,0)),"⚠ CONFLIT")))</f>
        <v/>
      </c>
      <c r="N9" s="52" t="str">
        <f t="array" ref="N9">IF($A9="","",IF(SUMPRODUCT(('J1 - 18 sept'!N$4:N$33=$A9)*1)=0,"",IF(SUMPRODUCT(('J1 - 18 sept'!N$4:N$33=$A9)*1)=1,INDEX('J1 - 18 sept'!$P$4:$P$33,MATCH($A9,'J1 - 18 sept'!N$4:N$33,0)),"⚠ CONFLIT")))</f>
        <v/>
      </c>
      <c r="P9" s="52" t="str">
        <f t="array" ref="P9">IF($A9="","",IF(SUMPRODUCT(('J2 - 19 sept'!C$4:C$33=$A9)*1)=0,"",IF(SUMPRODUCT(('J2 - 19 sept'!C$4:C$33=$A9)*1)=1,INDEX('J2 - 19 sept'!$P$4:$P$33,MATCH($A9,'J2 - 19 sept'!C$4:C$33,0)),"⚠ CONFLIT")))</f>
        <v/>
      </c>
      <c r="Q9" s="52" t="str">
        <f t="array" ref="Q9">IF($A9="","",IF(SUMPRODUCT(('J2 - 19 sept'!D$4:D$33=$A9)*1)=0,"",IF(SUMPRODUCT(('J2 - 19 sept'!D$4:D$33=$A9)*1)=1,INDEX('J2 - 19 sept'!$P$4:$P$33,MATCH($A9,'J2 - 19 sept'!D$4:D$33,0)),"⚠ CONFLIT")))</f>
        <v/>
      </c>
      <c r="R9" s="52" t="str">
        <f t="array" ref="R9">IF($A9="","",IF(SUMPRODUCT(('J2 - 19 sept'!E$4:E$33=$A9)*1)=0,"",IF(SUMPRODUCT(('J2 - 19 sept'!E$4:E$33=$A9)*1)=1,INDEX('J2 - 19 sept'!$P$4:$P$33,MATCH($A9,'J2 - 19 sept'!E$4:E$33,0)),"⚠ CONFLIT")))</f>
        <v/>
      </c>
      <c r="S9" s="52" t="str">
        <f t="array" ref="S9">IF($A9="","",IF(SUMPRODUCT(('J2 - 19 sept'!F$4:F$33=$A9)*1)=0,"",IF(SUMPRODUCT(('J2 - 19 sept'!F$4:F$33=$A9)*1)=1,INDEX('J2 - 19 sept'!$P$4:$P$33,MATCH($A9,'J2 - 19 sept'!F$4:F$33,0)),"⚠ CONFLIT")))</f>
        <v/>
      </c>
      <c r="T9" s="52" t="str">
        <f t="array" ref="T9">IF($A9="","",IF(SUMPRODUCT(('J2 - 19 sept'!G$4:G$33=$A9)*1)=0,"",IF(SUMPRODUCT(('J2 - 19 sept'!G$4:G$33=$A9)*1)=1,INDEX('J2 - 19 sept'!$P$4:$P$33,MATCH($A9,'J2 - 19 sept'!G$4:G$33,0)),"⚠ CONFLIT")))</f>
        <v/>
      </c>
      <c r="U9" s="52" t="str">
        <f t="array" ref="U9">IF($A9="","",IF(SUMPRODUCT(('J2 - 19 sept'!H$4:H$33=$A9)*1)=0,"",IF(SUMPRODUCT(('J2 - 19 sept'!H$4:H$33=$A9)*1)=1,INDEX('J2 - 19 sept'!$P$4:$P$33,MATCH($A9,'J2 - 19 sept'!H$4:H$33,0)),"⚠ CONFLIT")))</f>
        <v/>
      </c>
      <c r="V9" s="52" t="str">
        <f t="array" ref="V9">IF($A9="","",IF(SUMPRODUCT(('J2 - 19 sept'!I$4:I$33=$A9)*1)=0,"",IF(SUMPRODUCT(('J2 - 19 sept'!I$4:I$33=$A9)*1)=1,INDEX('J2 - 19 sept'!$P$4:$P$33,MATCH($A9,'J2 - 19 sept'!I$4:I$33,0)),"⚠ CONFLIT")))</f>
        <v/>
      </c>
      <c r="W9" s="52" t="str">
        <f t="array" ref="W9">IF($A9="","",IF(SUMPRODUCT(('J2 - 19 sept'!J$4:J$33=$A9)*1)=0,"",IF(SUMPRODUCT(('J2 - 19 sept'!J$4:J$33=$A9)*1)=1,INDEX('J2 - 19 sept'!$P$4:$P$33,MATCH($A9,'J2 - 19 sept'!J$4:J$33,0)),"⚠ CONFLIT")))</f>
        <v/>
      </c>
      <c r="X9" s="52" t="str">
        <f t="array" ref="X9">IF($A9="","",IF(SUMPRODUCT(('J2 - 19 sept'!K$4:K$33=$A9)*1)=0,"",IF(SUMPRODUCT(('J2 - 19 sept'!K$4:K$33=$A9)*1)=1,INDEX('J2 - 19 sept'!$P$4:$P$33,MATCH($A9,'J2 - 19 sept'!K$4:K$33,0)),"⚠ CONFLIT")))</f>
        <v/>
      </c>
      <c r="Y9" s="52" t="str">
        <f t="array" ref="Y9">IF($A9="","",IF(SUMPRODUCT(('J2 - 19 sept'!L$4:L$33=$A9)*1)=0,"",IF(SUMPRODUCT(('J2 - 19 sept'!L$4:L$33=$A9)*1)=1,INDEX('J2 - 19 sept'!$P$4:$P$33,MATCH($A9,'J2 - 19 sept'!L$4:L$33,0)),"⚠ CONFLIT")))</f>
        <v/>
      </c>
      <c r="Z9" s="52" t="str">
        <f t="array" ref="Z9">IF($A9="","",IF(SUMPRODUCT(('J2 - 19 sept'!M$4:M$33=$A9)*1)=0,"",IF(SUMPRODUCT(('J2 - 19 sept'!M$4:M$33=$A9)*1)=1,INDEX('J2 - 19 sept'!$P$4:$P$33,MATCH($A9,'J2 - 19 sept'!M$4:M$33,0)),"⚠ CONFLIT")))</f>
        <v/>
      </c>
      <c r="AA9" s="52" t="str">
        <f t="array" ref="AA9">IF($A9="","",IF(SUMPRODUCT(('J2 - 19 sept'!N$4:N$33=$A9)*1)=0,"",IF(SUMPRODUCT(('J2 - 19 sept'!N$4:N$33=$A9)*1)=1,INDEX('J2 - 19 sept'!$P$4:$P$33,MATCH($A9,'J2 - 19 sept'!N$4:N$33,0)),"⚠ CONFLIT")))</f>
        <v/>
      </c>
    </row>
    <row r="10">
      <c r="A10" s="50" t="str">
        <f>IF('Paramètres'!$B$21="","",'Paramètres'!$B$21)</f>
        <v>Adrien</v>
      </c>
      <c r="B10" s="51" t="str">
        <f>IF('Paramètres'!$C$21="","",'Paramètres'!$C$21)</f>
        <v/>
      </c>
      <c r="C10" s="52" t="str">
        <f t="array" ref="C10">IF($A10="","",IF(SUMPRODUCT(('J1 - 18 sept'!C$4:C$33=$A10)*1)=0,"",IF(SUMPRODUCT(('J1 - 18 sept'!C$4:C$33=$A10)*1)=1,INDEX('J1 - 18 sept'!$P$4:$P$33,MATCH($A10,'J1 - 18 sept'!C$4:C$33,0)),"⚠ CONFLIT")))</f>
        <v/>
      </c>
      <c r="D10" s="52" t="str">
        <f t="array" ref="D10">IF($A10="","",IF(SUMPRODUCT(('J1 - 18 sept'!D$4:D$33=$A10)*1)=0,"",IF(SUMPRODUCT(('J1 - 18 sept'!D$4:D$33=$A10)*1)=1,INDEX('J1 - 18 sept'!$P$4:$P$33,MATCH($A10,'J1 - 18 sept'!D$4:D$33,0)),"⚠ CONFLIT")))</f>
        <v/>
      </c>
      <c r="E10" s="52" t="str">
        <f t="array" ref="E10">IF($A10="","",IF(SUMPRODUCT(('J1 - 18 sept'!E$4:E$33=$A10)*1)=0,"",IF(SUMPRODUCT(('J1 - 18 sept'!E$4:E$33=$A10)*1)=1,INDEX('J1 - 18 sept'!$P$4:$P$33,MATCH($A10,'J1 - 18 sept'!E$4:E$33,0)),"⚠ CONFLIT")))</f>
        <v/>
      </c>
      <c r="F10" s="52" t="str">
        <f t="array" ref="F10">IF($A10="","",IF(SUMPRODUCT(('J1 - 18 sept'!F$4:F$33=$A10)*1)=0,"",IF(SUMPRODUCT(('J1 - 18 sept'!F$4:F$33=$A10)*1)=1,INDEX('J1 - 18 sept'!$P$4:$P$33,MATCH($A10,'J1 - 18 sept'!F$4:F$33,0)),"⚠ CONFLIT")))</f>
        <v/>
      </c>
      <c r="G10" s="52" t="str">
        <f t="array" ref="G10">IF($A10="","",IF(SUMPRODUCT(('J1 - 18 sept'!G$4:G$33=$A10)*1)=0,"",IF(SUMPRODUCT(('J1 - 18 sept'!G$4:G$33=$A10)*1)=1,INDEX('J1 - 18 sept'!$P$4:$P$33,MATCH($A10,'J1 - 18 sept'!G$4:G$33,0)),"⚠ CONFLIT")))</f>
        <v/>
      </c>
      <c r="H10" s="52" t="str">
        <f t="array" ref="H10">IF($A10="","",IF(SUMPRODUCT(('J1 - 18 sept'!H$4:H$33=$A10)*1)=0,"",IF(SUMPRODUCT(('J1 - 18 sept'!H$4:H$33=$A10)*1)=1,INDEX('J1 - 18 sept'!$P$4:$P$33,MATCH($A10,'J1 - 18 sept'!H$4:H$33,0)),"⚠ CONFLIT")))</f>
        <v/>
      </c>
      <c r="I10" s="52" t="str">
        <f t="array" ref="I10">IF($A10="","",IF(SUMPRODUCT(('J1 - 18 sept'!I$4:I$33=$A10)*1)=0,"",IF(SUMPRODUCT(('J1 - 18 sept'!I$4:I$33=$A10)*1)=1,INDEX('J1 - 18 sept'!$P$4:$P$33,MATCH($A10,'J1 - 18 sept'!I$4:I$33,0)),"⚠ CONFLIT")))</f>
        <v/>
      </c>
      <c r="J10" s="52" t="str">
        <f t="array" ref="J10">IF($A10="","",IF(SUMPRODUCT(('J1 - 18 sept'!J$4:J$33=$A10)*1)=0,"",IF(SUMPRODUCT(('J1 - 18 sept'!J$4:J$33=$A10)*1)=1,INDEX('J1 - 18 sept'!$P$4:$P$33,MATCH($A10,'J1 - 18 sept'!J$4:J$33,0)),"⚠ CONFLIT")))</f>
        <v/>
      </c>
      <c r="K10" s="52" t="str">
        <f t="array" ref="K10">IF($A10="","",IF(SUMPRODUCT(('J1 - 18 sept'!K$4:K$33=$A10)*1)=0,"",IF(SUMPRODUCT(('J1 - 18 sept'!K$4:K$33=$A10)*1)=1,INDEX('J1 - 18 sept'!$P$4:$P$33,MATCH($A10,'J1 - 18 sept'!K$4:K$33,0)),"⚠ CONFLIT")))</f>
        <v/>
      </c>
      <c r="L10" s="52" t="str">
        <f t="array" ref="L10">IF($A10="","",IF(SUMPRODUCT(('J1 - 18 sept'!L$4:L$33=$A10)*1)=0,"",IF(SUMPRODUCT(('J1 - 18 sept'!L$4:L$33=$A10)*1)=1,INDEX('J1 - 18 sept'!$P$4:$P$33,MATCH($A10,'J1 - 18 sept'!L$4:L$33,0)),"⚠ CONFLIT")))</f>
        <v/>
      </c>
      <c r="M10" s="52" t="str">
        <f t="array" ref="M10">IF($A10="","",IF(SUMPRODUCT(('J1 - 18 sept'!M$4:M$33=$A10)*1)=0,"",IF(SUMPRODUCT(('J1 - 18 sept'!M$4:M$33=$A10)*1)=1,INDEX('J1 - 18 sept'!$P$4:$P$33,MATCH($A10,'J1 - 18 sept'!M$4:M$33,0)),"⚠ CONFLIT")))</f>
        <v/>
      </c>
      <c r="N10" s="52" t="str">
        <f t="array" ref="N10">IF($A10="","",IF(SUMPRODUCT(('J1 - 18 sept'!N$4:N$33=$A10)*1)=0,"",IF(SUMPRODUCT(('J1 - 18 sept'!N$4:N$33=$A10)*1)=1,INDEX('J1 - 18 sept'!$P$4:$P$33,MATCH($A10,'J1 - 18 sept'!N$4:N$33,0)),"⚠ CONFLIT")))</f>
        <v/>
      </c>
      <c r="P10" s="52" t="str">
        <f t="array" ref="P10">IF($A10="","",IF(SUMPRODUCT(('J2 - 19 sept'!C$4:C$33=$A10)*1)=0,"",IF(SUMPRODUCT(('J2 - 19 sept'!C$4:C$33=$A10)*1)=1,INDEX('J2 - 19 sept'!$P$4:$P$33,MATCH($A10,'J2 - 19 sept'!C$4:C$33,0)),"⚠ CONFLIT")))</f>
        <v/>
      </c>
      <c r="Q10" s="52" t="str">
        <f t="array" ref="Q10">IF($A10="","",IF(SUMPRODUCT(('J2 - 19 sept'!D$4:D$33=$A10)*1)=0,"",IF(SUMPRODUCT(('J2 - 19 sept'!D$4:D$33=$A10)*1)=1,INDEX('J2 - 19 sept'!$P$4:$P$33,MATCH($A10,'J2 - 19 sept'!D$4:D$33,0)),"⚠ CONFLIT")))</f>
        <v/>
      </c>
      <c r="R10" s="52" t="str">
        <f t="array" ref="R10">IF($A10="","",IF(SUMPRODUCT(('J2 - 19 sept'!E$4:E$33=$A10)*1)=0,"",IF(SUMPRODUCT(('J2 - 19 sept'!E$4:E$33=$A10)*1)=1,INDEX('J2 - 19 sept'!$P$4:$P$33,MATCH($A10,'J2 - 19 sept'!E$4:E$33,0)),"⚠ CONFLIT")))</f>
        <v/>
      </c>
      <c r="S10" s="52" t="str">
        <f t="array" ref="S10">IF($A10="","",IF(SUMPRODUCT(('J2 - 19 sept'!F$4:F$33=$A10)*1)=0,"",IF(SUMPRODUCT(('J2 - 19 sept'!F$4:F$33=$A10)*1)=1,INDEX('J2 - 19 sept'!$P$4:$P$33,MATCH($A10,'J2 - 19 sept'!F$4:F$33,0)),"⚠ CONFLIT")))</f>
        <v/>
      </c>
      <c r="T10" s="52" t="str">
        <f t="array" ref="T10">IF($A10="","",IF(SUMPRODUCT(('J2 - 19 sept'!G$4:G$33=$A10)*1)=0,"",IF(SUMPRODUCT(('J2 - 19 sept'!G$4:G$33=$A10)*1)=1,INDEX('J2 - 19 sept'!$P$4:$P$33,MATCH($A10,'J2 - 19 sept'!G$4:G$33,0)),"⚠ CONFLIT")))</f>
        <v/>
      </c>
      <c r="U10" s="52" t="str">
        <f t="array" ref="U10">IF($A10="","",IF(SUMPRODUCT(('J2 - 19 sept'!H$4:H$33=$A10)*1)=0,"",IF(SUMPRODUCT(('J2 - 19 sept'!H$4:H$33=$A10)*1)=1,INDEX('J2 - 19 sept'!$P$4:$P$33,MATCH($A10,'J2 - 19 sept'!H$4:H$33,0)),"⚠ CONFLIT")))</f>
        <v/>
      </c>
      <c r="V10" s="52" t="str">
        <f t="array" ref="V10">IF($A10="","",IF(SUMPRODUCT(('J2 - 19 sept'!I$4:I$33=$A10)*1)=0,"",IF(SUMPRODUCT(('J2 - 19 sept'!I$4:I$33=$A10)*1)=1,INDEX('J2 - 19 sept'!$P$4:$P$33,MATCH($A10,'J2 - 19 sept'!I$4:I$33,0)),"⚠ CONFLIT")))</f>
        <v/>
      </c>
      <c r="W10" s="52" t="str">
        <f t="array" ref="W10">IF($A10="","",IF(SUMPRODUCT(('J2 - 19 sept'!J$4:J$33=$A10)*1)=0,"",IF(SUMPRODUCT(('J2 - 19 sept'!J$4:J$33=$A10)*1)=1,INDEX('J2 - 19 sept'!$P$4:$P$33,MATCH($A10,'J2 - 19 sept'!J$4:J$33,0)),"⚠ CONFLIT")))</f>
        <v/>
      </c>
      <c r="X10" s="52" t="str">
        <f t="array" ref="X10">IF($A10="","",IF(SUMPRODUCT(('J2 - 19 sept'!K$4:K$33=$A10)*1)=0,"",IF(SUMPRODUCT(('J2 - 19 sept'!K$4:K$33=$A10)*1)=1,INDEX('J2 - 19 sept'!$P$4:$P$33,MATCH($A10,'J2 - 19 sept'!K$4:K$33,0)),"⚠ CONFLIT")))</f>
        <v/>
      </c>
      <c r="Y10" s="52" t="str">
        <f t="array" ref="Y10">IF($A10="","",IF(SUMPRODUCT(('J2 - 19 sept'!L$4:L$33=$A10)*1)=0,"",IF(SUMPRODUCT(('J2 - 19 sept'!L$4:L$33=$A10)*1)=1,INDEX('J2 - 19 sept'!$P$4:$P$33,MATCH($A10,'J2 - 19 sept'!L$4:L$33,0)),"⚠ CONFLIT")))</f>
        <v/>
      </c>
      <c r="Z10" s="52" t="str">
        <f t="array" ref="Z10">IF($A10="","",IF(SUMPRODUCT(('J2 - 19 sept'!M$4:M$33=$A10)*1)=0,"",IF(SUMPRODUCT(('J2 - 19 sept'!M$4:M$33=$A10)*1)=1,INDEX('J2 - 19 sept'!$P$4:$P$33,MATCH($A10,'J2 - 19 sept'!M$4:M$33,0)),"⚠ CONFLIT")))</f>
        <v/>
      </c>
      <c r="AA10" s="52" t="str">
        <f t="array" ref="AA10">IF($A10="","",IF(SUMPRODUCT(('J2 - 19 sept'!N$4:N$33=$A10)*1)=0,"",IF(SUMPRODUCT(('J2 - 19 sept'!N$4:N$33=$A10)*1)=1,INDEX('J2 - 19 sept'!$P$4:$P$33,MATCH($A10,'J2 - 19 sept'!N$4:N$33,0)),"⚠ CONFLIT")))</f>
        <v/>
      </c>
    </row>
    <row r="11">
      <c r="A11" s="50" t="str">
        <f>IF('Paramètres'!$B$22="","",'Paramètres'!$B$22)</f>
        <v>Lucien</v>
      </c>
      <c r="B11" s="51" t="str">
        <f>IF('Paramètres'!$C$22="","",'Paramètres'!$C$22)</f>
        <v/>
      </c>
      <c r="C11" s="52" t="str">
        <f t="array" ref="C11">IF($A11="","",IF(SUMPRODUCT(('J1 - 18 sept'!C$4:C$33=$A11)*1)=0,"",IF(SUMPRODUCT(('J1 - 18 sept'!C$4:C$33=$A11)*1)=1,INDEX('J1 - 18 sept'!$P$4:$P$33,MATCH($A11,'J1 - 18 sept'!C$4:C$33,0)),"⚠ CONFLIT")))</f>
        <v/>
      </c>
      <c r="D11" s="52" t="str">
        <f t="array" ref="D11">IF($A11="","",IF(SUMPRODUCT(('J1 - 18 sept'!D$4:D$33=$A11)*1)=0,"",IF(SUMPRODUCT(('J1 - 18 sept'!D$4:D$33=$A11)*1)=1,INDEX('J1 - 18 sept'!$P$4:$P$33,MATCH($A11,'J1 - 18 sept'!D$4:D$33,0)),"⚠ CONFLIT")))</f>
        <v/>
      </c>
      <c r="E11" s="52" t="str">
        <f t="array" ref="E11">IF($A11="","",IF(SUMPRODUCT(('J1 - 18 sept'!E$4:E$33=$A11)*1)=0,"",IF(SUMPRODUCT(('J1 - 18 sept'!E$4:E$33=$A11)*1)=1,INDEX('J1 - 18 sept'!$P$4:$P$33,MATCH($A11,'J1 - 18 sept'!E$4:E$33,0)),"⚠ CONFLIT")))</f>
        <v/>
      </c>
      <c r="F11" s="52" t="str">
        <f t="array" ref="F11">IF($A11="","",IF(SUMPRODUCT(('J1 - 18 sept'!F$4:F$33=$A11)*1)=0,"",IF(SUMPRODUCT(('J1 - 18 sept'!F$4:F$33=$A11)*1)=1,INDEX('J1 - 18 sept'!$P$4:$P$33,MATCH($A11,'J1 - 18 sept'!F$4:F$33,0)),"⚠ CONFLIT")))</f>
        <v/>
      </c>
      <c r="G11" s="52" t="str">
        <f t="array" ref="G11">IF($A11="","",IF(SUMPRODUCT(('J1 - 18 sept'!G$4:G$33=$A11)*1)=0,"",IF(SUMPRODUCT(('J1 - 18 sept'!G$4:G$33=$A11)*1)=1,INDEX('J1 - 18 sept'!$P$4:$P$33,MATCH($A11,'J1 - 18 sept'!G$4:G$33,0)),"⚠ CONFLIT")))</f>
        <v/>
      </c>
      <c r="H11" s="52" t="str">
        <f t="array" ref="H11">IF($A11="","",IF(SUMPRODUCT(('J1 - 18 sept'!H$4:H$33=$A11)*1)=0,"",IF(SUMPRODUCT(('J1 - 18 sept'!H$4:H$33=$A11)*1)=1,INDEX('J1 - 18 sept'!$P$4:$P$33,MATCH($A11,'J1 - 18 sept'!H$4:H$33,0)),"⚠ CONFLIT")))</f>
        <v/>
      </c>
      <c r="I11" s="52" t="str">
        <f t="array" ref="I11">IF($A11="","",IF(SUMPRODUCT(('J1 - 18 sept'!I$4:I$33=$A11)*1)=0,"",IF(SUMPRODUCT(('J1 - 18 sept'!I$4:I$33=$A11)*1)=1,INDEX('J1 - 18 sept'!$P$4:$P$33,MATCH($A11,'J1 - 18 sept'!I$4:I$33,0)),"⚠ CONFLIT")))</f>
        <v/>
      </c>
      <c r="J11" s="52" t="str">
        <f t="array" ref="J11">IF($A11="","",IF(SUMPRODUCT(('J1 - 18 sept'!J$4:J$33=$A11)*1)=0,"",IF(SUMPRODUCT(('J1 - 18 sept'!J$4:J$33=$A11)*1)=1,INDEX('J1 - 18 sept'!$P$4:$P$33,MATCH($A11,'J1 - 18 sept'!J$4:J$33,0)),"⚠ CONFLIT")))</f>
        <v/>
      </c>
      <c r="K11" s="52" t="str">
        <f t="array" ref="K11">IF($A11="","",IF(SUMPRODUCT(('J1 - 18 sept'!K$4:K$33=$A11)*1)=0,"",IF(SUMPRODUCT(('J1 - 18 sept'!K$4:K$33=$A11)*1)=1,INDEX('J1 - 18 sept'!$P$4:$P$33,MATCH($A11,'J1 - 18 sept'!K$4:K$33,0)),"⚠ CONFLIT")))</f>
        <v/>
      </c>
      <c r="L11" s="52" t="str">
        <f t="array" ref="L11">IF($A11="","",IF(SUMPRODUCT(('J1 - 18 sept'!L$4:L$33=$A11)*1)=0,"",IF(SUMPRODUCT(('J1 - 18 sept'!L$4:L$33=$A11)*1)=1,INDEX('J1 - 18 sept'!$P$4:$P$33,MATCH($A11,'J1 - 18 sept'!L$4:L$33,0)),"⚠ CONFLIT")))</f>
        <v/>
      </c>
      <c r="M11" s="52" t="str">
        <f t="array" ref="M11">IF($A11="","",IF(SUMPRODUCT(('J1 - 18 sept'!M$4:M$33=$A11)*1)=0,"",IF(SUMPRODUCT(('J1 - 18 sept'!M$4:M$33=$A11)*1)=1,INDEX('J1 - 18 sept'!$P$4:$P$33,MATCH($A11,'J1 - 18 sept'!M$4:M$33,0)),"⚠ CONFLIT")))</f>
        <v/>
      </c>
      <c r="N11" s="52" t="str">
        <f t="array" ref="N11">IF($A11="","",IF(SUMPRODUCT(('J1 - 18 sept'!N$4:N$33=$A11)*1)=0,"",IF(SUMPRODUCT(('J1 - 18 sept'!N$4:N$33=$A11)*1)=1,INDEX('J1 - 18 sept'!$P$4:$P$33,MATCH($A11,'J1 - 18 sept'!N$4:N$33,0)),"⚠ CONFLIT")))</f>
        <v/>
      </c>
      <c r="P11" s="52" t="str">
        <f t="array" ref="P11">IF($A11="","",IF(SUMPRODUCT(('J2 - 19 sept'!C$4:C$33=$A11)*1)=0,"",IF(SUMPRODUCT(('J2 - 19 sept'!C$4:C$33=$A11)*1)=1,INDEX('J2 - 19 sept'!$P$4:$P$33,MATCH($A11,'J2 - 19 sept'!C$4:C$33,0)),"⚠ CONFLIT")))</f>
        <v/>
      </c>
      <c r="Q11" s="52" t="str">
        <f t="array" ref="Q11">IF($A11="","",IF(SUMPRODUCT(('J2 - 19 sept'!D$4:D$33=$A11)*1)=0,"",IF(SUMPRODUCT(('J2 - 19 sept'!D$4:D$33=$A11)*1)=1,INDEX('J2 - 19 sept'!$P$4:$P$33,MATCH($A11,'J2 - 19 sept'!D$4:D$33,0)),"⚠ CONFLIT")))</f>
        <v/>
      </c>
      <c r="R11" s="52" t="str">
        <f t="array" ref="R11">IF($A11="","",IF(SUMPRODUCT(('J2 - 19 sept'!E$4:E$33=$A11)*1)=0,"",IF(SUMPRODUCT(('J2 - 19 sept'!E$4:E$33=$A11)*1)=1,INDEX('J2 - 19 sept'!$P$4:$P$33,MATCH($A11,'J2 - 19 sept'!E$4:E$33,0)),"⚠ CONFLIT")))</f>
        <v/>
      </c>
      <c r="S11" s="52" t="str">
        <f t="array" ref="S11">IF($A11="","",IF(SUMPRODUCT(('J2 - 19 sept'!F$4:F$33=$A11)*1)=0,"",IF(SUMPRODUCT(('J2 - 19 sept'!F$4:F$33=$A11)*1)=1,INDEX('J2 - 19 sept'!$P$4:$P$33,MATCH($A11,'J2 - 19 sept'!F$4:F$33,0)),"⚠ CONFLIT")))</f>
        <v/>
      </c>
      <c r="T11" s="52" t="str">
        <f t="array" ref="T11">IF($A11="","",IF(SUMPRODUCT(('J2 - 19 sept'!G$4:G$33=$A11)*1)=0,"",IF(SUMPRODUCT(('J2 - 19 sept'!G$4:G$33=$A11)*1)=1,INDEX('J2 - 19 sept'!$P$4:$P$33,MATCH($A11,'J2 - 19 sept'!G$4:G$33,0)),"⚠ CONFLIT")))</f>
        <v/>
      </c>
      <c r="U11" s="52" t="str">
        <f t="array" ref="U11">IF($A11="","",IF(SUMPRODUCT(('J2 - 19 sept'!H$4:H$33=$A11)*1)=0,"",IF(SUMPRODUCT(('J2 - 19 sept'!H$4:H$33=$A11)*1)=1,INDEX('J2 - 19 sept'!$P$4:$P$33,MATCH($A11,'J2 - 19 sept'!H$4:H$33,0)),"⚠ CONFLIT")))</f>
        <v/>
      </c>
      <c r="V11" s="52" t="str">
        <f t="array" ref="V11">IF($A11="","",IF(SUMPRODUCT(('J2 - 19 sept'!I$4:I$33=$A11)*1)=0,"",IF(SUMPRODUCT(('J2 - 19 sept'!I$4:I$33=$A11)*1)=1,INDEX('J2 - 19 sept'!$P$4:$P$33,MATCH($A11,'J2 - 19 sept'!I$4:I$33,0)),"⚠ CONFLIT")))</f>
        <v/>
      </c>
      <c r="W11" s="52" t="str">
        <f t="array" ref="W11">IF($A11="","",IF(SUMPRODUCT(('J2 - 19 sept'!J$4:J$33=$A11)*1)=0,"",IF(SUMPRODUCT(('J2 - 19 sept'!J$4:J$33=$A11)*1)=1,INDEX('J2 - 19 sept'!$P$4:$P$33,MATCH($A11,'J2 - 19 sept'!J$4:J$33,0)),"⚠ CONFLIT")))</f>
        <v/>
      </c>
      <c r="X11" s="52" t="str">
        <f t="array" ref="X11">IF($A11="","",IF(SUMPRODUCT(('J2 - 19 sept'!K$4:K$33=$A11)*1)=0,"",IF(SUMPRODUCT(('J2 - 19 sept'!K$4:K$33=$A11)*1)=1,INDEX('J2 - 19 sept'!$P$4:$P$33,MATCH($A11,'J2 - 19 sept'!K$4:K$33,0)),"⚠ CONFLIT")))</f>
        <v/>
      </c>
      <c r="Y11" s="52" t="str">
        <f t="array" ref="Y11">IF($A11="","",IF(SUMPRODUCT(('J2 - 19 sept'!L$4:L$33=$A11)*1)=0,"",IF(SUMPRODUCT(('J2 - 19 sept'!L$4:L$33=$A11)*1)=1,INDEX('J2 - 19 sept'!$P$4:$P$33,MATCH($A11,'J2 - 19 sept'!L$4:L$33,0)),"⚠ CONFLIT")))</f>
        <v/>
      </c>
      <c r="Z11" s="52" t="str">
        <f t="array" ref="Z11">IF($A11="","",IF(SUMPRODUCT(('J2 - 19 sept'!M$4:M$33=$A11)*1)=0,"",IF(SUMPRODUCT(('J2 - 19 sept'!M$4:M$33=$A11)*1)=1,INDEX('J2 - 19 sept'!$P$4:$P$33,MATCH($A11,'J2 - 19 sept'!M$4:M$33,0)),"⚠ CONFLIT")))</f>
        <v/>
      </c>
      <c r="AA11" s="52" t="str">
        <f t="array" ref="AA11">IF($A11="","",IF(SUMPRODUCT(('J2 - 19 sept'!N$4:N$33=$A11)*1)=0,"",IF(SUMPRODUCT(('J2 - 19 sept'!N$4:N$33=$A11)*1)=1,INDEX('J2 - 19 sept'!$P$4:$P$33,MATCH($A11,'J2 - 19 sept'!N$4:N$33,0)),"⚠ CONFLIT")))</f>
        <v/>
      </c>
    </row>
    <row r="12">
      <c r="A12" s="50" t="str">
        <f>IF('Paramètres'!$B$23="","",'Paramètres'!$B$23)</f>
        <v>Amélie</v>
      </c>
      <c r="B12" s="51" t="str">
        <f>IF('Paramètres'!$C$23="","",'Paramètres'!$C$23)</f>
        <v>Équipe 1</v>
      </c>
      <c r="C12" s="52" t="str">
        <f t="array" ref="C12">IF($A12="","",IF(SUMPRODUCT(('J1 - 18 sept'!C$4:C$33=$A12)*1)=0,"",IF(SUMPRODUCT(('J1 - 18 sept'!C$4:C$33=$A12)*1)=1,INDEX('J1 - 18 sept'!$P$4:$P$33,MATCH($A12,'J1 - 18 sept'!C$4:C$33,0)),"⚠ CONFLIT")))</f>
        <v/>
      </c>
      <c r="D12" s="52" t="str">
        <f t="array" ref="D12">IF($A12="","",IF(SUMPRODUCT(('J1 - 18 sept'!D$4:D$33=$A12)*1)=0,"",IF(SUMPRODUCT(('J1 - 18 sept'!D$4:D$33=$A12)*1)=1,INDEX('J1 - 18 sept'!$P$4:$P$33,MATCH($A12,'J1 - 18 sept'!D$4:D$33,0)),"⚠ CONFLIT")))</f>
        <v/>
      </c>
      <c r="E12" s="52" t="str">
        <f t="array" ref="E12">IF($A12="","",IF(SUMPRODUCT(('J1 - 18 sept'!E$4:E$33=$A12)*1)=0,"",IF(SUMPRODUCT(('J1 - 18 sept'!E$4:E$33=$A12)*1)=1,INDEX('J1 - 18 sept'!$P$4:$P$33,MATCH($A12,'J1 - 18 sept'!E$4:E$33,0)),"⚠ CONFLIT")))</f>
        <v/>
      </c>
      <c r="F12" s="52" t="str">
        <f t="array" ref="F12">IF($A12="","",IF(SUMPRODUCT(('J1 - 18 sept'!F$4:F$33=$A12)*1)=0,"",IF(SUMPRODUCT(('J1 - 18 sept'!F$4:F$33=$A12)*1)=1,INDEX('J1 - 18 sept'!$P$4:$P$33,MATCH($A12,'J1 - 18 sept'!F$4:F$33,0)),"⚠ CONFLIT")))</f>
        <v/>
      </c>
      <c r="G12" s="52" t="str">
        <f t="array" ref="G12">IF($A12="","",IF(SUMPRODUCT(('J1 - 18 sept'!G$4:G$33=$A12)*1)=0,"",IF(SUMPRODUCT(('J1 - 18 sept'!G$4:G$33=$A12)*1)=1,INDEX('J1 - 18 sept'!$P$4:$P$33,MATCH($A12,'J1 - 18 sept'!G$4:G$33,0)),"⚠ CONFLIT")))</f>
        <v/>
      </c>
      <c r="H12" s="52" t="str">
        <f t="array" ref="H12">IF($A12="","",IF(SUMPRODUCT(('J1 - 18 sept'!H$4:H$33=$A12)*1)=0,"",IF(SUMPRODUCT(('J1 - 18 sept'!H$4:H$33=$A12)*1)=1,INDEX('J1 - 18 sept'!$P$4:$P$33,MATCH($A12,'J1 - 18 sept'!H$4:H$33,0)),"⚠ CONFLIT")))</f>
        <v/>
      </c>
      <c r="I12" s="52" t="str">
        <f t="array" ref="I12">IF($A12="","",IF(SUMPRODUCT(('J1 - 18 sept'!I$4:I$33=$A12)*1)=0,"",IF(SUMPRODUCT(('J1 - 18 sept'!I$4:I$33=$A12)*1)=1,INDEX('J1 - 18 sept'!$P$4:$P$33,MATCH($A12,'J1 - 18 sept'!I$4:I$33,0)),"⚠ CONFLIT")))</f>
        <v/>
      </c>
      <c r="J12" s="52" t="str">
        <f t="array" ref="J12">IF($A12="","",IF(SUMPRODUCT(('J1 - 18 sept'!J$4:J$33=$A12)*1)=0,"",IF(SUMPRODUCT(('J1 - 18 sept'!J$4:J$33=$A12)*1)=1,INDEX('J1 - 18 sept'!$P$4:$P$33,MATCH($A12,'J1 - 18 sept'!J$4:J$33,0)),"⚠ CONFLIT")))</f>
        <v/>
      </c>
      <c r="K12" s="52" t="str">
        <f t="array" ref="K12">IF($A12="","",IF(SUMPRODUCT(('J1 - 18 sept'!K$4:K$33=$A12)*1)=0,"",IF(SUMPRODUCT(('J1 - 18 sept'!K$4:K$33=$A12)*1)=1,INDEX('J1 - 18 sept'!$P$4:$P$33,MATCH($A12,'J1 - 18 sept'!K$4:K$33,0)),"⚠ CONFLIT")))</f>
        <v/>
      </c>
      <c r="L12" s="52" t="str">
        <f t="array" ref="L12">IF($A12="","",IF(SUMPRODUCT(('J1 - 18 sept'!L$4:L$33=$A12)*1)=0,"",IF(SUMPRODUCT(('J1 - 18 sept'!L$4:L$33=$A12)*1)=1,INDEX('J1 - 18 sept'!$P$4:$P$33,MATCH($A12,'J1 - 18 sept'!L$4:L$33,0)),"⚠ CONFLIT")))</f>
        <v/>
      </c>
      <c r="M12" s="52" t="str">
        <f t="array" ref="M12">IF($A12="","",IF(SUMPRODUCT(('J1 - 18 sept'!M$4:M$33=$A12)*1)=0,"",IF(SUMPRODUCT(('J1 - 18 sept'!M$4:M$33=$A12)*1)=1,INDEX('J1 - 18 sept'!$P$4:$P$33,MATCH($A12,'J1 - 18 sept'!M$4:M$33,0)),"⚠ CONFLIT")))</f>
        <v/>
      </c>
      <c r="N12" s="52" t="str">
        <f t="array" ref="N12">IF($A12="","",IF(SUMPRODUCT(('J1 - 18 sept'!N$4:N$33=$A12)*1)=0,"",IF(SUMPRODUCT(('J1 - 18 sept'!N$4:N$33=$A12)*1)=1,INDEX('J1 - 18 sept'!$P$4:$P$33,MATCH($A12,'J1 - 18 sept'!N$4:N$33,0)),"⚠ CONFLIT")))</f>
        <v/>
      </c>
      <c r="P12" s="52" t="str">
        <f t="array" ref="P12">IF($A12="","",IF(SUMPRODUCT(('J2 - 19 sept'!C$4:C$33=$A12)*1)=0,"",IF(SUMPRODUCT(('J2 - 19 sept'!C$4:C$33=$A12)*1)=1,INDEX('J2 - 19 sept'!$P$4:$P$33,MATCH($A12,'J2 - 19 sept'!C$4:C$33,0)),"⚠ CONFLIT")))</f>
        <v/>
      </c>
      <c r="Q12" s="52" t="str">
        <f t="array" ref="Q12">IF($A12="","",IF(SUMPRODUCT(('J2 - 19 sept'!D$4:D$33=$A12)*1)=0,"",IF(SUMPRODUCT(('J2 - 19 sept'!D$4:D$33=$A12)*1)=1,INDEX('J2 - 19 sept'!$P$4:$P$33,MATCH($A12,'J2 - 19 sept'!D$4:D$33,0)),"⚠ CONFLIT")))</f>
        <v/>
      </c>
      <c r="R12" s="52" t="str">
        <f t="array" ref="R12">IF($A12="","",IF(SUMPRODUCT(('J2 - 19 sept'!E$4:E$33=$A12)*1)=0,"",IF(SUMPRODUCT(('J2 - 19 sept'!E$4:E$33=$A12)*1)=1,INDEX('J2 - 19 sept'!$P$4:$P$33,MATCH($A12,'J2 - 19 sept'!E$4:E$33,0)),"⚠ CONFLIT")))</f>
        <v/>
      </c>
      <c r="S12" s="52" t="str">
        <f t="array" ref="S12">IF($A12="","",IF(SUMPRODUCT(('J2 - 19 sept'!F$4:F$33=$A12)*1)=0,"",IF(SUMPRODUCT(('J2 - 19 sept'!F$4:F$33=$A12)*1)=1,INDEX('J2 - 19 sept'!$P$4:$P$33,MATCH($A12,'J2 - 19 sept'!F$4:F$33,0)),"⚠ CONFLIT")))</f>
        <v/>
      </c>
      <c r="T12" s="52" t="str">
        <f t="array" ref="T12">IF($A12="","",IF(SUMPRODUCT(('J2 - 19 sept'!G$4:G$33=$A12)*1)=0,"",IF(SUMPRODUCT(('J2 - 19 sept'!G$4:G$33=$A12)*1)=1,INDEX('J2 - 19 sept'!$P$4:$P$33,MATCH($A12,'J2 - 19 sept'!G$4:G$33,0)),"⚠ CONFLIT")))</f>
        <v/>
      </c>
      <c r="U12" s="52" t="str">
        <f t="array" ref="U12">IF($A12="","",IF(SUMPRODUCT(('J2 - 19 sept'!H$4:H$33=$A12)*1)=0,"",IF(SUMPRODUCT(('J2 - 19 sept'!H$4:H$33=$A12)*1)=1,INDEX('J2 - 19 sept'!$P$4:$P$33,MATCH($A12,'J2 - 19 sept'!H$4:H$33,0)),"⚠ CONFLIT")))</f>
        <v/>
      </c>
      <c r="V12" s="52" t="str">
        <f t="array" ref="V12">IF($A12="","",IF(SUMPRODUCT(('J2 - 19 sept'!I$4:I$33=$A12)*1)=0,"",IF(SUMPRODUCT(('J2 - 19 sept'!I$4:I$33=$A12)*1)=1,INDEX('J2 - 19 sept'!$P$4:$P$33,MATCH($A12,'J2 - 19 sept'!I$4:I$33,0)),"⚠ CONFLIT")))</f>
        <v/>
      </c>
      <c r="W12" s="52" t="str">
        <f t="array" ref="W12">IF($A12="","",IF(SUMPRODUCT(('J2 - 19 sept'!J$4:J$33=$A12)*1)=0,"",IF(SUMPRODUCT(('J2 - 19 sept'!J$4:J$33=$A12)*1)=1,INDEX('J2 - 19 sept'!$P$4:$P$33,MATCH($A12,'J2 - 19 sept'!J$4:J$33,0)),"⚠ CONFLIT")))</f>
        <v/>
      </c>
      <c r="X12" s="52" t="str">
        <f t="array" ref="X12">IF($A12="","",IF(SUMPRODUCT(('J2 - 19 sept'!K$4:K$33=$A12)*1)=0,"",IF(SUMPRODUCT(('J2 - 19 sept'!K$4:K$33=$A12)*1)=1,INDEX('J2 - 19 sept'!$P$4:$P$33,MATCH($A12,'J2 - 19 sept'!K$4:K$33,0)),"⚠ CONFLIT")))</f>
        <v/>
      </c>
      <c r="Y12" s="52" t="str">
        <f t="array" ref="Y12">IF($A12="","",IF(SUMPRODUCT(('J2 - 19 sept'!L$4:L$33=$A12)*1)=0,"",IF(SUMPRODUCT(('J2 - 19 sept'!L$4:L$33=$A12)*1)=1,INDEX('J2 - 19 sept'!$P$4:$P$33,MATCH($A12,'J2 - 19 sept'!L$4:L$33,0)),"⚠ CONFLIT")))</f>
        <v/>
      </c>
      <c r="Z12" s="52" t="str">
        <f t="array" ref="Z12">IF($A12="","",IF(SUMPRODUCT(('J2 - 19 sept'!M$4:M$33=$A12)*1)=0,"",IF(SUMPRODUCT(('J2 - 19 sept'!M$4:M$33=$A12)*1)=1,INDEX('J2 - 19 sept'!$P$4:$P$33,MATCH($A12,'J2 - 19 sept'!M$4:M$33,0)),"⚠ CONFLIT")))</f>
        <v/>
      </c>
      <c r="AA12" s="52" t="str">
        <f t="array" ref="AA12">IF($A12="","",IF(SUMPRODUCT(('J2 - 19 sept'!N$4:N$33=$A12)*1)=0,"",IF(SUMPRODUCT(('J2 - 19 sept'!N$4:N$33=$A12)*1)=1,INDEX('J2 - 19 sept'!$P$4:$P$33,MATCH($A12,'J2 - 19 sept'!N$4:N$33,0)),"⚠ CONFLIT")))</f>
        <v/>
      </c>
    </row>
    <row r="13">
      <c r="A13" s="50" t="str">
        <f>IF('Paramètres'!$B$24="","",'Paramètres'!$B$24)</f>
        <v>Marthe</v>
      </c>
      <c r="B13" s="51" t="str">
        <f>IF('Paramètres'!$C$24="","",'Paramètres'!$C$24)</f>
        <v>Équipe 1</v>
      </c>
      <c r="C13" s="52" t="str">
        <f t="array" ref="C13">IF($A13="","",IF(SUMPRODUCT(('J1 - 18 sept'!C$4:C$33=$A13)*1)=0,"",IF(SUMPRODUCT(('J1 - 18 sept'!C$4:C$33=$A13)*1)=1,INDEX('J1 - 18 sept'!$P$4:$P$33,MATCH($A13,'J1 - 18 sept'!C$4:C$33,0)),"⚠ CONFLIT")))</f>
        <v/>
      </c>
      <c r="D13" s="52" t="str">
        <f t="array" ref="D13">IF($A13="","",IF(SUMPRODUCT(('J1 - 18 sept'!D$4:D$33=$A13)*1)=0,"",IF(SUMPRODUCT(('J1 - 18 sept'!D$4:D$33=$A13)*1)=1,INDEX('J1 - 18 sept'!$P$4:$P$33,MATCH($A13,'J1 - 18 sept'!D$4:D$33,0)),"⚠ CONFLIT")))</f>
        <v/>
      </c>
      <c r="E13" s="52" t="str">
        <f t="array" ref="E13">IF($A13="","",IF(SUMPRODUCT(('J1 - 18 sept'!E$4:E$33=$A13)*1)=0,"",IF(SUMPRODUCT(('J1 - 18 sept'!E$4:E$33=$A13)*1)=1,INDEX('J1 - 18 sept'!$P$4:$P$33,MATCH($A13,'J1 - 18 sept'!E$4:E$33,0)),"⚠ CONFLIT")))</f>
        <v/>
      </c>
      <c r="F13" s="52" t="str">
        <f t="array" ref="F13">IF($A13="","",IF(SUMPRODUCT(('J1 - 18 sept'!F$4:F$33=$A13)*1)=0,"",IF(SUMPRODUCT(('J1 - 18 sept'!F$4:F$33=$A13)*1)=1,INDEX('J1 - 18 sept'!$P$4:$P$33,MATCH($A13,'J1 - 18 sept'!F$4:F$33,0)),"⚠ CONFLIT")))</f>
        <v/>
      </c>
      <c r="G13" s="52" t="str">
        <f t="array" ref="G13">IF($A13="","",IF(SUMPRODUCT(('J1 - 18 sept'!G$4:G$33=$A13)*1)=0,"",IF(SUMPRODUCT(('J1 - 18 sept'!G$4:G$33=$A13)*1)=1,INDEX('J1 - 18 sept'!$P$4:$P$33,MATCH($A13,'J1 - 18 sept'!G$4:G$33,0)),"⚠ CONFLIT")))</f>
        <v/>
      </c>
      <c r="H13" s="52" t="str">
        <f t="array" ref="H13">IF($A13="","",IF(SUMPRODUCT(('J1 - 18 sept'!H$4:H$33=$A13)*1)=0,"",IF(SUMPRODUCT(('J1 - 18 sept'!H$4:H$33=$A13)*1)=1,INDEX('J1 - 18 sept'!$P$4:$P$33,MATCH($A13,'J1 - 18 sept'!H$4:H$33,0)),"⚠ CONFLIT")))</f>
        <v/>
      </c>
      <c r="I13" s="52" t="str">
        <f t="array" ref="I13">IF($A13="","",IF(SUMPRODUCT(('J1 - 18 sept'!I$4:I$33=$A13)*1)=0,"",IF(SUMPRODUCT(('J1 - 18 sept'!I$4:I$33=$A13)*1)=1,INDEX('J1 - 18 sept'!$P$4:$P$33,MATCH($A13,'J1 - 18 sept'!I$4:I$33,0)),"⚠ CONFLIT")))</f>
        <v/>
      </c>
      <c r="J13" s="52" t="str">
        <f t="array" ref="J13">IF($A13="","",IF(SUMPRODUCT(('J1 - 18 sept'!J$4:J$33=$A13)*1)=0,"",IF(SUMPRODUCT(('J1 - 18 sept'!J$4:J$33=$A13)*1)=1,INDEX('J1 - 18 sept'!$P$4:$P$33,MATCH($A13,'J1 - 18 sept'!J$4:J$33,0)),"⚠ CONFLIT")))</f>
        <v/>
      </c>
      <c r="K13" s="52" t="str">
        <f t="array" ref="K13">IF($A13="","",IF(SUMPRODUCT(('J1 - 18 sept'!K$4:K$33=$A13)*1)=0,"",IF(SUMPRODUCT(('J1 - 18 sept'!K$4:K$33=$A13)*1)=1,INDEX('J1 - 18 sept'!$P$4:$P$33,MATCH($A13,'J1 - 18 sept'!K$4:K$33,0)),"⚠ CONFLIT")))</f>
        <v/>
      </c>
      <c r="L13" s="52" t="str">
        <f t="array" ref="L13">IF($A13="","",IF(SUMPRODUCT(('J1 - 18 sept'!L$4:L$33=$A13)*1)=0,"",IF(SUMPRODUCT(('J1 - 18 sept'!L$4:L$33=$A13)*1)=1,INDEX('J1 - 18 sept'!$P$4:$P$33,MATCH($A13,'J1 - 18 sept'!L$4:L$33,0)),"⚠ CONFLIT")))</f>
        <v/>
      </c>
      <c r="M13" s="52" t="str">
        <f t="array" ref="M13">IF($A13="","",IF(SUMPRODUCT(('J1 - 18 sept'!M$4:M$33=$A13)*1)=0,"",IF(SUMPRODUCT(('J1 - 18 sept'!M$4:M$33=$A13)*1)=1,INDEX('J1 - 18 sept'!$P$4:$P$33,MATCH($A13,'J1 - 18 sept'!M$4:M$33,0)),"⚠ CONFLIT")))</f>
        <v/>
      </c>
      <c r="N13" s="52" t="str">
        <f t="array" ref="N13">IF($A13="","",IF(SUMPRODUCT(('J1 - 18 sept'!N$4:N$33=$A13)*1)=0,"",IF(SUMPRODUCT(('J1 - 18 sept'!N$4:N$33=$A13)*1)=1,INDEX('J1 - 18 sept'!$P$4:$P$33,MATCH($A13,'J1 - 18 sept'!N$4:N$33,0)),"⚠ CONFLIT")))</f>
        <v/>
      </c>
      <c r="P13" s="52" t="str">
        <f t="array" ref="P13">IF($A13="","",IF(SUMPRODUCT(('J2 - 19 sept'!C$4:C$33=$A13)*1)=0,"",IF(SUMPRODUCT(('J2 - 19 sept'!C$4:C$33=$A13)*1)=1,INDEX('J2 - 19 sept'!$P$4:$P$33,MATCH($A13,'J2 - 19 sept'!C$4:C$33,0)),"⚠ CONFLIT")))</f>
        <v/>
      </c>
      <c r="Q13" s="52" t="str">
        <f t="array" ref="Q13">IF($A13="","",IF(SUMPRODUCT(('J2 - 19 sept'!D$4:D$33=$A13)*1)=0,"",IF(SUMPRODUCT(('J2 - 19 sept'!D$4:D$33=$A13)*1)=1,INDEX('J2 - 19 sept'!$P$4:$P$33,MATCH($A13,'J2 - 19 sept'!D$4:D$33,0)),"⚠ CONFLIT")))</f>
        <v/>
      </c>
      <c r="R13" s="52" t="str">
        <f t="array" ref="R13">IF($A13="","",IF(SUMPRODUCT(('J2 - 19 sept'!E$4:E$33=$A13)*1)=0,"",IF(SUMPRODUCT(('J2 - 19 sept'!E$4:E$33=$A13)*1)=1,INDEX('J2 - 19 sept'!$P$4:$P$33,MATCH($A13,'J2 - 19 sept'!E$4:E$33,0)),"⚠ CONFLIT")))</f>
        <v/>
      </c>
      <c r="S13" s="52" t="str">
        <f t="array" ref="S13">IF($A13="","",IF(SUMPRODUCT(('J2 - 19 sept'!F$4:F$33=$A13)*1)=0,"",IF(SUMPRODUCT(('J2 - 19 sept'!F$4:F$33=$A13)*1)=1,INDEX('J2 - 19 sept'!$P$4:$P$33,MATCH($A13,'J2 - 19 sept'!F$4:F$33,0)),"⚠ CONFLIT")))</f>
        <v/>
      </c>
      <c r="T13" s="52" t="str">
        <f t="array" ref="T13">IF($A13="","",IF(SUMPRODUCT(('J2 - 19 sept'!G$4:G$33=$A13)*1)=0,"",IF(SUMPRODUCT(('J2 - 19 sept'!G$4:G$33=$A13)*1)=1,INDEX('J2 - 19 sept'!$P$4:$P$33,MATCH($A13,'J2 - 19 sept'!G$4:G$33,0)),"⚠ CONFLIT")))</f>
        <v/>
      </c>
      <c r="U13" s="52" t="str">
        <f t="array" ref="U13">IF($A13="","",IF(SUMPRODUCT(('J2 - 19 sept'!H$4:H$33=$A13)*1)=0,"",IF(SUMPRODUCT(('J2 - 19 sept'!H$4:H$33=$A13)*1)=1,INDEX('J2 - 19 sept'!$P$4:$P$33,MATCH($A13,'J2 - 19 sept'!H$4:H$33,0)),"⚠ CONFLIT")))</f>
        <v/>
      </c>
      <c r="V13" s="52" t="str">
        <f t="array" ref="V13">IF($A13="","",IF(SUMPRODUCT(('J2 - 19 sept'!I$4:I$33=$A13)*1)=0,"",IF(SUMPRODUCT(('J2 - 19 sept'!I$4:I$33=$A13)*1)=1,INDEX('J2 - 19 sept'!$P$4:$P$33,MATCH($A13,'J2 - 19 sept'!I$4:I$33,0)),"⚠ CONFLIT")))</f>
        <v/>
      </c>
      <c r="W13" s="52" t="str">
        <f t="array" ref="W13">IF($A13="","",IF(SUMPRODUCT(('J2 - 19 sept'!J$4:J$33=$A13)*1)=0,"",IF(SUMPRODUCT(('J2 - 19 sept'!J$4:J$33=$A13)*1)=1,INDEX('J2 - 19 sept'!$P$4:$P$33,MATCH($A13,'J2 - 19 sept'!J$4:J$33,0)),"⚠ CONFLIT")))</f>
        <v/>
      </c>
      <c r="X13" s="52" t="str">
        <f t="array" ref="X13">IF($A13="","",IF(SUMPRODUCT(('J2 - 19 sept'!K$4:K$33=$A13)*1)=0,"",IF(SUMPRODUCT(('J2 - 19 sept'!K$4:K$33=$A13)*1)=1,INDEX('J2 - 19 sept'!$P$4:$P$33,MATCH($A13,'J2 - 19 sept'!K$4:K$33,0)),"⚠ CONFLIT")))</f>
        <v/>
      </c>
      <c r="Y13" s="52" t="str">
        <f t="array" ref="Y13">IF($A13="","",IF(SUMPRODUCT(('J2 - 19 sept'!L$4:L$33=$A13)*1)=0,"",IF(SUMPRODUCT(('J2 - 19 sept'!L$4:L$33=$A13)*1)=1,INDEX('J2 - 19 sept'!$P$4:$P$33,MATCH($A13,'J2 - 19 sept'!L$4:L$33,0)),"⚠ CONFLIT")))</f>
        <v/>
      </c>
      <c r="Z13" s="52" t="str">
        <f t="array" ref="Z13">IF($A13="","",IF(SUMPRODUCT(('J2 - 19 sept'!M$4:M$33=$A13)*1)=0,"",IF(SUMPRODUCT(('J2 - 19 sept'!M$4:M$33=$A13)*1)=1,INDEX('J2 - 19 sept'!$P$4:$P$33,MATCH($A13,'J2 - 19 sept'!M$4:M$33,0)),"⚠ CONFLIT")))</f>
        <v/>
      </c>
      <c r="AA13" s="52" t="str">
        <f t="array" ref="AA13">IF($A13="","",IF(SUMPRODUCT(('J2 - 19 sept'!N$4:N$33=$A13)*1)=0,"",IF(SUMPRODUCT(('J2 - 19 sept'!N$4:N$33=$A13)*1)=1,INDEX('J2 - 19 sept'!$P$4:$P$33,MATCH($A13,'J2 - 19 sept'!N$4:N$33,0)),"⚠ CONFLIT")))</f>
        <v/>
      </c>
    </row>
    <row r="14">
      <c r="A14" s="50" t="str">
        <f t="shared" ref="A14:B14" si="1">IF(#REF!="","",#REF!)</f>
        <v>#REF!</v>
      </c>
      <c r="B14" s="51" t="str">
        <f t="shared" si="1"/>
        <v>#REF!</v>
      </c>
      <c r="C14" s="52" t="str">
        <f t="array" ref="C14">IF($A14="","",IF(SUMPRODUCT(('J1 - 18 sept'!C$4:C$33=$A14)*1)=0,"",IF(SUMPRODUCT(('J1 - 18 sept'!C$4:C$33=$A14)*1)=1,INDEX('J1 - 18 sept'!$P$4:$P$33,MATCH($A14,'J1 - 18 sept'!C$4:C$33,0)),"⚠ CONFLIT")))</f>
        <v>#REF!</v>
      </c>
      <c r="D14" s="52" t="str">
        <f t="array" ref="D14">IF($A14="","",IF(SUMPRODUCT(('J1 - 18 sept'!D$4:D$33=$A14)*1)=0,"",IF(SUMPRODUCT(('J1 - 18 sept'!D$4:D$33=$A14)*1)=1,INDEX('J1 - 18 sept'!$P$4:$P$33,MATCH($A14,'J1 - 18 sept'!D$4:D$33,0)),"⚠ CONFLIT")))</f>
        <v>#REF!</v>
      </c>
      <c r="E14" s="52" t="str">
        <f t="array" ref="E14">IF($A14="","",IF(SUMPRODUCT(('J1 - 18 sept'!E$4:E$33=$A14)*1)=0,"",IF(SUMPRODUCT(('J1 - 18 sept'!E$4:E$33=$A14)*1)=1,INDEX('J1 - 18 sept'!$P$4:$P$33,MATCH($A14,'J1 - 18 sept'!E$4:E$33,0)),"⚠ CONFLIT")))</f>
        <v>#REF!</v>
      </c>
      <c r="F14" s="52" t="str">
        <f t="array" ref="F14">IF($A14="","",IF(SUMPRODUCT(('J1 - 18 sept'!F$4:F$33=$A14)*1)=0,"",IF(SUMPRODUCT(('J1 - 18 sept'!F$4:F$33=$A14)*1)=1,INDEX('J1 - 18 sept'!$P$4:$P$33,MATCH($A14,'J1 - 18 sept'!F$4:F$33,0)),"⚠ CONFLIT")))</f>
        <v>#REF!</v>
      </c>
      <c r="G14" s="52" t="str">
        <f t="array" ref="G14">IF($A14="","",IF(SUMPRODUCT(('J1 - 18 sept'!G$4:G$33=$A14)*1)=0,"",IF(SUMPRODUCT(('J1 - 18 sept'!G$4:G$33=$A14)*1)=1,INDEX('J1 - 18 sept'!$P$4:$P$33,MATCH($A14,'J1 - 18 sept'!G$4:G$33,0)),"⚠ CONFLIT")))</f>
        <v>#REF!</v>
      </c>
      <c r="H14" s="52" t="str">
        <f t="array" ref="H14">IF($A14="","",IF(SUMPRODUCT(('J1 - 18 sept'!H$4:H$33=$A14)*1)=0,"",IF(SUMPRODUCT(('J1 - 18 sept'!H$4:H$33=$A14)*1)=1,INDEX('J1 - 18 sept'!$P$4:$P$33,MATCH($A14,'J1 - 18 sept'!H$4:H$33,0)),"⚠ CONFLIT")))</f>
        <v>#REF!</v>
      </c>
      <c r="I14" s="52" t="str">
        <f t="array" ref="I14">IF($A14="","",IF(SUMPRODUCT(('J1 - 18 sept'!I$4:I$33=$A14)*1)=0,"",IF(SUMPRODUCT(('J1 - 18 sept'!I$4:I$33=$A14)*1)=1,INDEX('J1 - 18 sept'!$P$4:$P$33,MATCH($A14,'J1 - 18 sept'!I$4:I$33,0)),"⚠ CONFLIT")))</f>
        <v>#REF!</v>
      </c>
      <c r="J14" s="52" t="str">
        <f t="array" ref="J14">IF($A14="","",IF(SUMPRODUCT(('J1 - 18 sept'!J$4:J$33=$A14)*1)=0,"",IF(SUMPRODUCT(('J1 - 18 sept'!J$4:J$33=$A14)*1)=1,INDEX('J1 - 18 sept'!$P$4:$P$33,MATCH($A14,'J1 - 18 sept'!J$4:J$33,0)),"⚠ CONFLIT")))</f>
        <v>#REF!</v>
      </c>
      <c r="K14" s="52" t="str">
        <f t="array" ref="K14">IF($A14="","",IF(SUMPRODUCT(('J1 - 18 sept'!K$4:K$33=$A14)*1)=0,"",IF(SUMPRODUCT(('J1 - 18 sept'!K$4:K$33=$A14)*1)=1,INDEX('J1 - 18 sept'!$P$4:$P$33,MATCH($A14,'J1 - 18 sept'!K$4:K$33,0)),"⚠ CONFLIT")))</f>
        <v>#REF!</v>
      </c>
      <c r="L14" s="52" t="str">
        <f t="array" ref="L14">IF($A14="","",IF(SUMPRODUCT(('J1 - 18 sept'!L$4:L$33=$A14)*1)=0,"",IF(SUMPRODUCT(('J1 - 18 sept'!L$4:L$33=$A14)*1)=1,INDEX('J1 - 18 sept'!$P$4:$P$33,MATCH($A14,'J1 - 18 sept'!L$4:L$33,0)),"⚠ CONFLIT")))</f>
        <v>#REF!</v>
      </c>
      <c r="M14" s="52" t="str">
        <f t="array" ref="M14">IF($A14="","",IF(SUMPRODUCT(('J1 - 18 sept'!M$4:M$33=$A14)*1)=0,"",IF(SUMPRODUCT(('J1 - 18 sept'!M$4:M$33=$A14)*1)=1,INDEX('J1 - 18 sept'!$P$4:$P$33,MATCH($A14,'J1 - 18 sept'!M$4:M$33,0)),"⚠ CONFLIT")))</f>
        <v>#REF!</v>
      </c>
      <c r="N14" s="52" t="str">
        <f t="array" ref="N14">IF($A14="","",IF(SUMPRODUCT(('J1 - 18 sept'!N$4:N$33=$A14)*1)=0,"",IF(SUMPRODUCT(('J1 - 18 sept'!N$4:N$33=$A14)*1)=1,INDEX('J1 - 18 sept'!$P$4:$P$33,MATCH($A14,'J1 - 18 sept'!N$4:N$33,0)),"⚠ CONFLIT")))</f>
        <v>#REF!</v>
      </c>
      <c r="P14" s="52" t="str">
        <f t="array" ref="P14">IF($A14="","",IF(SUMPRODUCT(('J2 - 19 sept'!C$4:C$33=$A14)*1)=0,"",IF(SUMPRODUCT(('J2 - 19 sept'!C$4:C$33=$A14)*1)=1,INDEX('J2 - 19 sept'!$P$4:$P$33,MATCH($A14,'J2 - 19 sept'!C$4:C$33,0)),"⚠ CONFLIT")))</f>
        <v>#REF!</v>
      </c>
      <c r="Q14" s="52" t="str">
        <f t="array" ref="Q14">IF($A14="","",IF(SUMPRODUCT(('J2 - 19 sept'!D$4:D$33=$A14)*1)=0,"",IF(SUMPRODUCT(('J2 - 19 sept'!D$4:D$33=$A14)*1)=1,INDEX('J2 - 19 sept'!$P$4:$P$33,MATCH($A14,'J2 - 19 sept'!D$4:D$33,0)),"⚠ CONFLIT")))</f>
        <v>#REF!</v>
      </c>
      <c r="R14" s="52" t="str">
        <f t="array" ref="R14">IF($A14="","",IF(SUMPRODUCT(('J2 - 19 sept'!E$4:E$33=$A14)*1)=0,"",IF(SUMPRODUCT(('J2 - 19 sept'!E$4:E$33=$A14)*1)=1,INDEX('J2 - 19 sept'!$P$4:$P$33,MATCH($A14,'J2 - 19 sept'!E$4:E$33,0)),"⚠ CONFLIT")))</f>
        <v>#REF!</v>
      </c>
      <c r="S14" s="52" t="str">
        <f t="array" ref="S14">IF($A14="","",IF(SUMPRODUCT(('J2 - 19 sept'!F$4:F$33=$A14)*1)=0,"",IF(SUMPRODUCT(('J2 - 19 sept'!F$4:F$33=$A14)*1)=1,INDEX('J2 - 19 sept'!$P$4:$P$33,MATCH($A14,'J2 - 19 sept'!F$4:F$33,0)),"⚠ CONFLIT")))</f>
        <v>#REF!</v>
      </c>
      <c r="T14" s="52" t="str">
        <f t="array" ref="T14">IF($A14="","",IF(SUMPRODUCT(('J2 - 19 sept'!G$4:G$33=$A14)*1)=0,"",IF(SUMPRODUCT(('J2 - 19 sept'!G$4:G$33=$A14)*1)=1,INDEX('J2 - 19 sept'!$P$4:$P$33,MATCH($A14,'J2 - 19 sept'!G$4:G$33,0)),"⚠ CONFLIT")))</f>
        <v>#REF!</v>
      </c>
      <c r="U14" s="52" t="str">
        <f t="array" ref="U14">IF($A14="","",IF(SUMPRODUCT(('J2 - 19 sept'!H$4:H$33=$A14)*1)=0,"",IF(SUMPRODUCT(('J2 - 19 sept'!H$4:H$33=$A14)*1)=1,INDEX('J2 - 19 sept'!$P$4:$P$33,MATCH($A14,'J2 - 19 sept'!H$4:H$33,0)),"⚠ CONFLIT")))</f>
        <v>#REF!</v>
      </c>
      <c r="V14" s="52" t="str">
        <f t="array" ref="V14">IF($A14="","",IF(SUMPRODUCT(('J2 - 19 sept'!I$4:I$33=$A14)*1)=0,"",IF(SUMPRODUCT(('J2 - 19 sept'!I$4:I$33=$A14)*1)=1,INDEX('J2 - 19 sept'!$P$4:$P$33,MATCH($A14,'J2 - 19 sept'!I$4:I$33,0)),"⚠ CONFLIT")))</f>
        <v>#REF!</v>
      </c>
      <c r="W14" s="52" t="str">
        <f t="array" ref="W14">IF($A14="","",IF(SUMPRODUCT(('J2 - 19 sept'!J$4:J$33=$A14)*1)=0,"",IF(SUMPRODUCT(('J2 - 19 sept'!J$4:J$33=$A14)*1)=1,INDEX('J2 - 19 sept'!$P$4:$P$33,MATCH($A14,'J2 - 19 sept'!J$4:J$33,0)),"⚠ CONFLIT")))</f>
        <v>#REF!</v>
      </c>
      <c r="X14" s="52" t="str">
        <f t="array" ref="X14">IF($A14="","",IF(SUMPRODUCT(('J2 - 19 sept'!K$4:K$33=$A14)*1)=0,"",IF(SUMPRODUCT(('J2 - 19 sept'!K$4:K$33=$A14)*1)=1,INDEX('J2 - 19 sept'!$P$4:$P$33,MATCH($A14,'J2 - 19 sept'!K$4:K$33,0)),"⚠ CONFLIT")))</f>
        <v>#REF!</v>
      </c>
      <c r="Y14" s="52" t="str">
        <f t="array" ref="Y14">IF($A14="","",IF(SUMPRODUCT(('J2 - 19 sept'!L$4:L$33=$A14)*1)=0,"",IF(SUMPRODUCT(('J2 - 19 sept'!L$4:L$33=$A14)*1)=1,INDEX('J2 - 19 sept'!$P$4:$P$33,MATCH($A14,'J2 - 19 sept'!L$4:L$33,0)),"⚠ CONFLIT")))</f>
        <v>#REF!</v>
      </c>
      <c r="Z14" s="52" t="str">
        <f t="array" ref="Z14">IF($A14="","",IF(SUMPRODUCT(('J2 - 19 sept'!M$4:M$33=$A14)*1)=0,"",IF(SUMPRODUCT(('J2 - 19 sept'!M$4:M$33=$A14)*1)=1,INDEX('J2 - 19 sept'!$P$4:$P$33,MATCH($A14,'J2 - 19 sept'!M$4:M$33,0)),"⚠ CONFLIT")))</f>
        <v>#REF!</v>
      </c>
      <c r="AA14" s="52" t="str">
        <f t="array" ref="AA14">IF($A14="","",IF(SUMPRODUCT(('J2 - 19 sept'!N$4:N$33=$A14)*1)=0,"",IF(SUMPRODUCT(('J2 - 19 sept'!N$4:N$33=$A14)*1)=1,INDEX('J2 - 19 sept'!$P$4:$P$33,MATCH($A14,'J2 - 19 sept'!N$4:N$33,0)),"⚠ CONFLIT")))</f>
        <v>#REF!</v>
      </c>
    </row>
    <row r="15">
      <c r="A15" s="50" t="str">
        <f>IF('Paramètres'!$B$25="","",'Paramètres'!$B$25)</f>
        <v>Benoit</v>
      </c>
      <c r="B15" s="51" t="str">
        <f>IF('Paramètres'!$C$25="","",'Paramètres'!$C$25)</f>
        <v/>
      </c>
      <c r="C15" s="52" t="str">
        <f t="array" ref="C15">IF($A15="","",IF(SUMPRODUCT(('J1 - 18 sept'!C$4:C$33=$A15)*1)=0,"",IF(SUMPRODUCT(('J1 - 18 sept'!C$4:C$33=$A15)*1)=1,INDEX('J1 - 18 sept'!$P$4:$P$33,MATCH($A15,'J1 - 18 sept'!C$4:C$33,0)),"⚠ CONFLIT")))</f>
        <v/>
      </c>
      <c r="D15" s="52" t="str">
        <f t="array" ref="D15">IF($A15="","",IF(SUMPRODUCT(('J1 - 18 sept'!D$4:D$33=$A15)*1)=0,"",IF(SUMPRODUCT(('J1 - 18 sept'!D$4:D$33=$A15)*1)=1,INDEX('J1 - 18 sept'!$P$4:$P$33,MATCH($A15,'J1 - 18 sept'!D$4:D$33,0)),"⚠ CONFLIT")))</f>
        <v/>
      </c>
      <c r="E15" s="52" t="str">
        <f t="array" ref="E15">IF($A15="","",IF(SUMPRODUCT(('J1 - 18 sept'!E$4:E$33=$A15)*1)=0,"",IF(SUMPRODUCT(('J1 - 18 sept'!E$4:E$33=$A15)*1)=1,INDEX('J1 - 18 sept'!$P$4:$P$33,MATCH($A15,'J1 - 18 sept'!E$4:E$33,0)),"⚠ CONFLIT")))</f>
        <v/>
      </c>
      <c r="F15" s="52" t="str">
        <f t="array" ref="F15">IF($A15="","",IF(SUMPRODUCT(('J1 - 18 sept'!F$4:F$33=$A15)*1)=0,"",IF(SUMPRODUCT(('J1 - 18 sept'!F$4:F$33=$A15)*1)=1,INDEX('J1 - 18 sept'!$P$4:$P$33,MATCH($A15,'J1 - 18 sept'!F$4:F$33,0)),"⚠ CONFLIT")))</f>
        <v/>
      </c>
      <c r="G15" s="52" t="str">
        <f t="array" ref="G15">IF($A15="","",IF(SUMPRODUCT(('J1 - 18 sept'!G$4:G$33=$A15)*1)=0,"",IF(SUMPRODUCT(('J1 - 18 sept'!G$4:G$33=$A15)*1)=1,INDEX('J1 - 18 sept'!$P$4:$P$33,MATCH($A15,'J1 - 18 sept'!G$4:G$33,0)),"⚠ CONFLIT")))</f>
        <v/>
      </c>
      <c r="H15" s="52" t="str">
        <f t="array" ref="H15">IF($A15="","",IF(SUMPRODUCT(('J1 - 18 sept'!H$4:H$33=$A15)*1)=0,"",IF(SUMPRODUCT(('J1 - 18 sept'!H$4:H$33=$A15)*1)=1,INDEX('J1 - 18 sept'!$P$4:$P$33,MATCH($A15,'J1 - 18 sept'!H$4:H$33,0)),"⚠ CONFLIT")))</f>
        <v/>
      </c>
      <c r="I15" s="52" t="str">
        <f t="array" ref="I15">IF($A15="","",IF(SUMPRODUCT(('J1 - 18 sept'!I$4:I$33=$A15)*1)=0,"",IF(SUMPRODUCT(('J1 - 18 sept'!I$4:I$33=$A15)*1)=1,INDEX('J1 - 18 sept'!$P$4:$P$33,MATCH($A15,'J1 - 18 sept'!I$4:I$33,0)),"⚠ CONFLIT")))</f>
        <v/>
      </c>
      <c r="J15" s="52" t="str">
        <f t="array" ref="J15">IF($A15="","",IF(SUMPRODUCT(('J1 - 18 sept'!J$4:J$33=$A15)*1)=0,"",IF(SUMPRODUCT(('J1 - 18 sept'!J$4:J$33=$A15)*1)=1,INDEX('J1 - 18 sept'!$P$4:$P$33,MATCH($A15,'J1 - 18 sept'!J$4:J$33,0)),"⚠ CONFLIT")))</f>
        <v/>
      </c>
      <c r="K15" s="52" t="str">
        <f t="array" ref="K15">IF($A15="","",IF(SUMPRODUCT(('J1 - 18 sept'!K$4:K$33=$A15)*1)=0,"",IF(SUMPRODUCT(('J1 - 18 sept'!K$4:K$33=$A15)*1)=1,INDEX('J1 - 18 sept'!$P$4:$P$33,MATCH($A15,'J1 - 18 sept'!K$4:K$33,0)),"⚠ CONFLIT")))</f>
        <v/>
      </c>
      <c r="L15" s="52" t="str">
        <f t="array" ref="L15">IF($A15="","",IF(SUMPRODUCT(('J1 - 18 sept'!L$4:L$33=$A15)*1)=0,"",IF(SUMPRODUCT(('J1 - 18 sept'!L$4:L$33=$A15)*1)=1,INDEX('J1 - 18 sept'!$P$4:$P$33,MATCH($A15,'J1 - 18 sept'!L$4:L$33,0)),"⚠ CONFLIT")))</f>
        <v/>
      </c>
      <c r="M15" s="52" t="str">
        <f t="array" ref="M15">IF($A15="","",IF(SUMPRODUCT(('J1 - 18 sept'!M$4:M$33=$A15)*1)=0,"",IF(SUMPRODUCT(('J1 - 18 sept'!M$4:M$33=$A15)*1)=1,INDEX('J1 - 18 sept'!$P$4:$P$33,MATCH($A15,'J1 - 18 sept'!M$4:M$33,0)),"⚠ CONFLIT")))</f>
        <v/>
      </c>
      <c r="N15" s="52" t="str">
        <f t="array" ref="N15">IF($A15="","",IF(SUMPRODUCT(('J1 - 18 sept'!N$4:N$33=$A15)*1)=0,"",IF(SUMPRODUCT(('J1 - 18 sept'!N$4:N$33=$A15)*1)=1,INDEX('J1 - 18 sept'!$P$4:$P$33,MATCH($A15,'J1 - 18 sept'!N$4:N$33,0)),"⚠ CONFLIT")))</f>
        <v/>
      </c>
      <c r="P15" s="52" t="str">
        <f t="array" ref="P15">IF($A15="","",IF(SUMPRODUCT(('J2 - 19 sept'!C$4:C$33=$A15)*1)=0,"",IF(SUMPRODUCT(('J2 - 19 sept'!C$4:C$33=$A15)*1)=1,INDEX('J2 - 19 sept'!$P$4:$P$33,MATCH($A15,'J2 - 19 sept'!C$4:C$33,0)),"⚠ CONFLIT")))</f>
        <v/>
      </c>
      <c r="Q15" s="52" t="str">
        <f t="array" ref="Q15">IF($A15="","",IF(SUMPRODUCT(('J2 - 19 sept'!D$4:D$33=$A15)*1)=0,"",IF(SUMPRODUCT(('J2 - 19 sept'!D$4:D$33=$A15)*1)=1,INDEX('J2 - 19 sept'!$P$4:$P$33,MATCH($A15,'J2 - 19 sept'!D$4:D$33,0)),"⚠ CONFLIT")))</f>
        <v/>
      </c>
      <c r="R15" s="52" t="str">
        <f t="array" ref="R15">IF($A15="","",IF(SUMPRODUCT(('J2 - 19 sept'!E$4:E$33=$A15)*1)=0,"",IF(SUMPRODUCT(('J2 - 19 sept'!E$4:E$33=$A15)*1)=1,INDEX('J2 - 19 sept'!$P$4:$P$33,MATCH($A15,'J2 - 19 sept'!E$4:E$33,0)),"⚠ CONFLIT")))</f>
        <v/>
      </c>
      <c r="S15" s="52" t="str">
        <f t="array" ref="S15">IF($A15="","",IF(SUMPRODUCT(('J2 - 19 sept'!F$4:F$33=$A15)*1)=0,"",IF(SUMPRODUCT(('J2 - 19 sept'!F$4:F$33=$A15)*1)=1,INDEX('J2 - 19 sept'!$P$4:$P$33,MATCH($A15,'J2 - 19 sept'!F$4:F$33,0)),"⚠ CONFLIT")))</f>
        <v/>
      </c>
      <c r="T15" s="52" t="str">
        <f t="array" ref="T15">IF($A15="","",IF(SUMPRODUCT(('J2 - 19 sept'!G$4:G$33=$A15)*1)=0,"",IF(SUMPRODUCT(('J2 - 19 sept'!G$4:G$33=$A15)*1)=1,INDEX('J2 - 19 sept'!$P$4:$P$33,MATCH($A15,'J2 - 19 sept'!G$4:G$33,0)),"⚠ CONFLIT")))</f>
        <v/>
      </c>
      <c r="U15" s="52" t="str">
        <f t="array" ref="U15">IF($A15="","",IF(SUMPRODUCT(('J2 - 19 sept'!H$4:H$33=$A15)*1)=0,"",IF(SUMPRODUCT(('J2 - 19 sept'!H$4:H$33=$A15)*1)=1,INDEX('J2 - 19 sept'!$P$4:$P$33,MATCH($A15,'J2 - 19 sept'!H$4:H$33,0)),"⚠ CONFLIT")))</f>
        <v/>
      </c>
      <c r="V15" s="52" t="str">
        <f t="array" ref="V15">IF($A15="","",IF(SUMPRODUCT(('J2 - 19 sept'!I$4:I$33=$A15)*1)=0,"",IF(SUMPRODUCT(('J2 - 19 sept'!I$4:I$33=$A15)*1)=1,INDEX('J2 - 19 sept'!$P$4:$P$33,MATCH($A15,'J2 - 19 sept'!I$4:I$33,0)),"⚠ CONFLIT")))</f>
        <v/>
      </c>
      <c r="W15" s="52" t="str">
        <f t="array" ref="W15">IF($A15="","",IF(SUMPRODUCT(('J2 - 19 sept'!J$4:J$33=$A15)*1)=0,"",IF(SUMPRODUCT(('J2 - 19 sept'!J$4:J$33=$A15)*1)=1,INDEX('J2 - 19 sept'!$P$4:$P$33,MATCH($A15,'J2 - 19 sept'!J$4:J$33,0)),"⚠ CONFLIT")))</f>
        <v/>
      </c>
      <c r="X15" s="52" t="str">
        <f t="array" ref="X15">IF($A15="","",IF(SUMPRODUCT(('J2 - 19 sept'!K$4:K$33=$A15)*1)=0,"",IF(SUMPRODUCT(('J2 - 19 sept'!K$4:K$33=$A15)*1)=1,INDEX('J2 - 19 sept'!$P$4:$P$33,MATCH($A15,'J2 - 19 sept'!K$4:K$33,0)),"⚠ CONFLIT")))</f>
        <v/>
      </c>
      <c r="Y15" s="52" t="str">
        <f t="array" ref="Y15">IF($A15="","",IF(SUMPRODUCT(('J2 - 19 sept'!L$4:L$33=$A15)*1)=0,"",IF(SUMPRODUCT(('J2 - 19 sept'!L$4:L$33=$A15)*1)=1,INDEX('J2 - 19 sept'!$P$4:$P$33,MATCH($A15,'J2 - 19 sept'!L$4:L$33,0)),"⚠ CONFLIT")))</f>
        <v/>
      </c>
      <c r="Z15" s="52" t="str">
        <f t="array" ref="Z15">IF($A15="","",IF(SUMPRODUCT(('J2 - 19 sept'!M$4:M$33=$A15)*1)=0,"",IF(SUMPRODUCT(('J2 - 19 sept'!M$4:M$33=$A15)*1)=1,INDEX('J2 - 19 sept'!$P$4:$P$33,MATCH($A15,'J2 - 19 sept'!M$4:M$33,0)),"⚠ CONFLIT")))</f>
        <v/>
      </c>
      <c r="AA15" s="52" t="str">
        <f t="array" ref="AA15">IF($A15="","",IF(SUMPRODUCT(('J2 - 19 sept'!N$4:N$33=$A15)*1)=0,"",IF(SUMPRODUCT(('J2 - 19 sept'!N$4:N$33=$A15)*1)=1,INDEX('J2 - 19 sept'!$P$4:$P$33,MATCH($A15,'J2 - 19 sept'!N$4:N$33,0)),"⚠ CONFLIT")))</f>
        <v/>
      </c>
    </row>
    <row r="16">
      <c r="A16" s="50" t="str">
        <f>IF('Paramètres'!$B$26="","",'Paramètres'!$B$26)</f>
        <v>Camille</v>
      </c>
      <c r="B16" s="51" t="str">
        <f>IF('Paramètres'!$C$26="","",'Paramètres'!$C$26)</f>
        <v/>
      </c>
      <c r="C16" s="52" t="str">
        <f t="array" ref="C16">IF($A16="","",IF(SUMPRODUCT(('J1 - 18 sept'!C$4:C$33=$A16)*1)=0,"",IF(SUMPRODUCT(('J1 - 18 sept'!C$4:C$33=$A16)*1)=1,INDEX('J1 - 18 sept'!$P$4:$P$33,MATCH($A16,'J1 - 18 sept'!C$4:C$33,0)),"⚠ CONFLIT")))</f>
        <v/>
      </c>
      <c r="D16" s="52" t="str">
        <f t="array" ref="D16">IF($A16="","",IF(SUMPRODUCT(('J1 - 18 sept'!D$4:D$33=$A16)*1)=0,"",IF(SUMPRODUCT(('J1 - 18 sept'!D$4:D$33=$A16)*1)=1,INDEX('J1 - 18 sept'!$P$4:$P$33,MATCH($A16,'J1 - 18 sept'!D$4:D$33,0)),"⚠ CONFLIT")))</f>
        <v/>
      </c>
      <c r="E16" s="52" t="str">
        <f t="array" ref="E16">IF($A16="","",IF(SUMPRODUCT(('J1 - 18 sept'!E$4:E$33=$A16)*1)=0,"",IF(SUMPRODUCT(('J1 - 18 sept'!E$4:E$33=$A16)*1)=1,INDEX('J1 - 18 sept'!$P$4:$P$33,MATCH($A16,'J1 - 18 sept'!E$4:E$33,0)),"⚠ CONFLIT")))</f>
        <v/>
      </c>
      <c r="F16" s="52" t="str">
        <f t="array" ref="F16">IF($A16="","",IF(SUMPRODUCT(('J1 - 18 sept'!F$4:F$33=$A16)*1)=0,"",IF(SUMPRODUCT(('J1 - 18 sept'!F$4:F$33=$A16)*1)=1,INDEX('J1 - 18 sept'!$P$4:$P$33,MATCH($A16,'J1 - 18 sept'!F$4:F$33,0)),"⚠ CONFLIT")))</f>
        <v/>
      </c>
      <c r="G16" s="52" t="str">
        <f t="array" ref="G16">IF($A16="","",IF(SUMPRODUCT(('J1 - 18 sept'!G$4:G$33=$A16)*1)=0,"",IF(SUMPRODUCT(('J1 - 18 sept'!G$4:G$33=$A16)*1)=1,INDEX('J1 - 18 sept'!$P$4:$P$33,MATCH($A16,'J1 - 18 sept'!G$4:G$33,0)),"⚠ CONFLIT")))</f>
        <v/>
      </c>
      <c r="H16" s="52" t="str">
        <f t="array" ref="H16">IF($A16="","",IF(SUMPRODUCT(('J1 - 18 sept'!H$4:H$33=$A16)*1)=0,"",IF(SUMPRODUCT(('J1 - 18 sept'!H$4:H$33=$A16)*1)=1,INDEX('J1 - 18 sept'!$P$4:$P$33,MATCH($A16,'J1 - 18 sept'!H$4:H$33,0)),"⚠ CONFLIT")))</f>
        <v/>
      </c>
      <c r="I16" s="52" t="str">
        <f t="array" ref="I16">IF($A16="","",IF(SUMPRODUCT(('J1 - 18 sept'!I$4:I$33=$A16)*1)=0,"",IF(SUMPRODUCT(('J1 - 18 sept'!I$4:I$33=$A16)*1)=1,INDEX('J1 - 18 sept'!$P$4:$P$33,MATCH($A16,'J1 - 18 sept'!I$4:I$33,0)),"⚠ CONFLIT")))</f>
        <v/>
      </c>
      <c r="J16" s="52" t="str">
        <f t="array" ref="J16">IF($A16="","",IF(SUMPRODUCT(('J1 - 18 sept'!J$4:J$33=$A16)*1)=0,"",IF(SUMPRODUCT(('J1 - 18 sept'!J$4:J$33=$A16)*1)=1,INDEX('J1 - 18 sept'!$P$4:$P$33,MATCH($A16,'J1 - 18 sept'!J$4:J$33,0)),"⚠ CONFLIT")))</f>
        <v/>
      </c>
      <c r="K16" s="52" t="str">
        <f t="array" ref="K16">IF($A16="","",IF(SUMPRODUCT(('J1 - 18 sept'!K$4:K$33=$A16)*1)=0,"",IF(SUMPRODUCT(('J1 - 18 sept'!K$4:K$33=$A16)*1)=1,INDEX('J1 - 18 sept'!$P$4:$P$33,MATCH($A16,'J1 - 18 sept'!K$4:K$33,0)),"⚠ CONFLIT")))</f>
        <v/>
      </c>
      <c r="L16" s="52" t="str">
        <f t="array" ref="L16">IF($A16="","",IF(SUMPRODUCT(('J1 - 18 sept'!L$4:L$33=$A16)*1)=0,"",IF(SUMPRODUCT(('J1 - 18 sept'!L$4:L$33=$A16)*1)=1,INDEX('J1 - 18 sept'!$P$4:$P$33,MATCH($A16,'J1 - 18 sept'!L$4:L$33,0)),"⚠ CONFLIT")))</f>
        <v/>
      </c>
      <c r="M16" s="52" t="str">
        <f t="array" ref="M16">IF($A16="","",IF(SUMPRODUCT(('J1 - 18 sept'!M$4:M$33=$A16)*1)=0,"",IF(SUMPRODUCT(('J1 - 18 sept'!M$4:M$33=$A16)*1)=1,INDEX('J1 - 18 sept'!$P$4:$P$33,MATCH($A16,'J1 - 18 sept'!M$4:M$33,0)),"⚠ CONFLIT")))</f>
        <v/>
      </c>
      <c r="N16" s="52" t="str">
        <f t="array" ref="N16">IF($A16="","",IF(SUMPRODUCT(('J1 - 18 sept'!N$4:N$33=$A16)*1)=0,"",IF(SUMPRODUCT(('J1 - 18 sept'!N$4:N$33=$A16)*1)=1,INDEX('J1 - 18 sept'!$P$4:$P$33,MATCH($A16,'J1 - 18 sept'!N$4:N$33,0)),"⚠ CONFLIT")))</f>
        <v/>
      </c>
      <c r="P16" s="52" t="str">
        <f t="array" ref="P16">IF($A16="","",IF(SUMPRODUCT(('J2 - 19 sept'!C$4:C$33=$A16)*1)=0,"",IF(SUMPRODUCT(('J2 - 19 sept'!C$4:C$33=$A16)*1)=1,INDEX('J2 - 19 sept'!$P$4:$P$33,MATCH($A16,'J2 - 19 sept'!C$4:C$33,0)),"⚠ CONFLIT")))</f>
        <v/>
      </c>
      <c r="Q16" s="52" t="str">
        <f t="array" ref="Q16">IF($A16="","",IF(SUMPRODUCT(('J2 - 19 sept'!D$4:D$33=$A16)*1)=0,"",IF(SUMPRODUCT(('J2 - 19 sept'!D$4:D$33=$A16)*1)=1,INDEX('J2 - 19 sept'!$P$4:$P$33,MATCH($A16,'J2 - 19 sept'!D$4:D$33,0)),"⚠ CONFLIT")))</f>
        <v/>
      </c>
      <c r="R16" s="52" t="str">
        <f t="array" ref="R16">IF($A16="","",IF(SUMPRODUCT(('J2 - 19 sept'!E$4:E$33=$A16)*1)=0,"",IF(SUMPRODUCT(('J2 - 19 sept'!E$4:E$33=$A16)*1)=1,INDEX('J2 - 19 sept'!$P$4:$P$33,MATCH($A16,'J2 - 19 sept'!E$4:E$33,0)),"⚠ CONFLIT")))</f>
        <v/>
      </c>
      <c r="S16" s="52" t="str">
        <f t="array" ref="S16">IF($A16="","",IF(SUMPRODUCT(('J2 - 19 sept'!F$4:F$33=$A16)*1)=0,"",IF(SUMPRODUCT(('J2 - 19 sept'!F$4:F$33=$A16)*1)=1,INDEX('J2 - 19 sept'!$P$4:$P$33,MATCH($A16,'J2 - 19 sept'!F$4:F$33,0)),"⚠ CONFLIT")))</f>
        <v/>
      </c>
      <c r="T16" s="52" t="str">
        <f t="array" ref="T16">IF($A16="","",IF(SUMPRODUCT(('J2 - 19 sept'!G$4:G$33=$A16)*1)=0,"",IF(SUMPRODUCT(('J2 - 19 sept'!G$4:G$33=$A16)*1)=1,INDEX('J2 - 19 sept'!$P$4:$P$33,MATCH($A16,'J2 - 19 sept'!G$4:G$33,0)),"⚠ CONFLIT")))</f>
        <v/>
      </c>
      <c r="U16" s="52" t="str">
        <f t="array" ref="U16">IF($A16="","",IF(SUMPRODUCT(('J2 - 19 sept'!H$4:H$33=$A16)*1)=0,"",IF(SUMPRODUCT(('J2 - 19 sept'!H$4:H$33=$A16)*1)=1,INDEX('J2 - 19 sept'!$P$4:$P$33,MATCH($A16,'J2 - 19 sept'!H$4:H$33,0)),"⚠ CONFLIT")))</f>
        <v/>
      </c>
      <c r="V16" s="52" t="str">
        <f t="array" ref="V16">IF($A16="","",IF(SUMPRODUCT(('J2 - 19 sept'!I$4:I$33=$A16)*1)=0,"",IF(SUMPRODUCT(('J2 - 19 sept'!I$4:I$33=$A16)*1)=1,INDEX('J2 - 19 sept'!$P$4:$P$33,MATCH($A16,'J2 - 19 sept'!I$4:I$33,0)),"⚠ CONFLIT")))</f>
        <v/>
      </c>
      <c r="W16" s="52" t="str">
        <f t="array" ref="W16">IF($A16="","",IF(SUMPRODUCT(('J2 - 19 sept'!J$4:J$33=$A16)*1)=0,"",IF(SUMPRODUCT(('J2 - 19 sept'!J$4:J$33=$A16)*1)=1,INDEX('J2 - 19 sept'!$P$4:$P$33,MATCH($A16,'J2 - 19 sept'!J$4:J$33,0)),"⚠ CONFLIT")))</f>
        <v/>
      </c>
      <c r="X16" s="52" t="str">
        <f t="array" ref="X16">IF($A16="","",IF(SUMPRODUCT(('J2 - 19 sept'!K$4:K$33=$A16)*1)=0,"",IF(SUMPRODUCT(('J2 - 19 sept'!K$4:K$33=$A16)*1)=1,INDEX('J2 - 19 sept'!$P$4:$P$33,MATCH($A16,'J2 - 19 sept'!K$4:K$33,0)),"⚠ CONFLIT")))</f>
        <v/>
      </c>
      <c r="Y16" s="52" t="str">
        <f t="array" ref="Y16">IF($A16="","",IF(SUMPRODUCT(('J2 - 19 sept'!L$4:L$33=$A16)*1)=0,"",IF(SUMPRODUCT(('J2 - 19 sept'!L$4:L$33=$A16)*1)=1,INDEX('J2 - 19 sept'!$P$4:$P$33,MATCH($A16,'J2 - 19 sept'!L$4:L$33,0)),"⚠ CONFLIT")))</f>
        <v/>
      </c>
      <c r="Z16" s="52" t="str">
        <f t="array" ref="Z16">IF($A16="","",IF(SUMPRODUCT(('J2 - 19 sept'!M$4:M$33=$A16)*1)=0,"",IF(SUMPRODUCT(('J2 - 19 sept'!M$4:M$33=$A16)*1)=1,INDEX('J2 - 19 sept'!$P$4:$P$33,MATCH($A16,'J2 - 19 sept'!M$4:M$33,0)),"⚠ CONFLIT")))</f>
        <v/>
      </c>
      <c r="AA16" s="52" t="str">
        <f t="array" ref="AA16">IF($A16="","",IF(SUMPRODUCT(('J2 - 19 sept'!N$4:N$33=$A16)*1)=0,"",IF(SUMPRODUCT(('J2 - 19 sept'!N$4:N$33=$A16)*1)=1,INDEX('J2 - 19 sept'!$P$4:$P$33,MATCH($A16,'J2 - 19 sept'!N$4:N$33,0)),"⚠ CONFLIT")))</f>
        <v/>
      </c>
    </row>
    <row r="17">
      <c r="A17" s="50" t="str">
        <f>IF('Paramètres'!$B$27="","",'Paramètres'!$B$27)</f>
        <v>Célie</v>
      </c>
      <c r="B17" s="51" t="str">
        <f>IF('Paramètres'!$C$27="","",'Paramètres'!$C$27)</f>
        <v/>
      </c>
      <c r="C17" s="52" t="str">
        <f t="array" ref="C17">IF($A17="","",IF(SUMPRODUCT(('J1 - 18 sept'!C$4:C$33=$A17)*1)=0,"",IF(SUMPRODUCT(('J1 - 18 sept'!C$4:C$33=$A17)*1)=1,INDEX('J1 - 18 sept'!$P$4:$P$33,MATCH($A17,'J1 - 18 sept'!C$4:C$33,0)),"⚠ CONFLIT")))</f>
        <v/>
      </c>
      <c r="D17" s="52" t="str">
        <f t="array" ref="D17">IF($A17="","",IF(SUMPRODUCT(('J1 - 18 sept'!D$4:D$33=$A17)*1)=0,"",IF(SUMPRODUCT(('J1 - 18 sept'!D$4:D$33=$A17)*1)=1,INDEX('J1 - 18 sept'!$P$4:$P$33,MATCH($A17,'J1 - 18 sept'!D$4:D$33,0)),"⚠ CONFLIT")))</f>
        <v/>
      </c>
      <c r="E17" s="52" t="str">
        <f t="array" ref="E17">IF($A17="","",IF(SUMPRODUCT(('J1 - 18 sept'!E$4:E$33=$A17)*1)=0,"",IF(SUMPRODUCT(('J1 - 18 sept'!E$4:E$33=$A17)*1)=1,INDEX('J1 - 18 sept'!$P$4:$P$33,MATCH($A17,'J1 - 18 sept'!E$4:E$33,0)),"⚠ CONFLIT")))</f>
        <v/>
      </c>
      <c r="F17" s="52" t="str">
        <f t="array" ref="F17">IF($A17="","",IF(SUMPRODUCT(('J1 - 18 sept'!F$4:F$33=$A17)*1)=0,"",IF(SUMPRODUCT(('J1 - 18 sept'!F$4:F$33=$A17)*1)=1,INDEX('J1 - 18 sept'!$P$4:$P$33,MATCH($A17,'J1 - 18 sept'!F$4:F$33,0)),"⚠ CONFLIT")))</f>
        <v/>
      </c>
      <c r="G17" s="52" t="str">
        <f t="array" ref="G17">IF($A17="","",IF(SUMPRODUCT(('J1 - 18 sept'!G$4:G$33=$A17)*1)=0,"",IF(SUMPRODUCT(('J1 - 18 sept'!G$4:G$33=$A17)*1)=1,INDEX('J1 - 18 sept'!$P$4:$P$33,MATCH($A17,'J1 - 18 sept'!G$4:G$33,0)),"⚠ CONFLIT")))</f>
        <v/>
      </c>
      <c r="H17" s="52" t="str">
        <f t="array" ref="H17">IF($A17="","",IF(SUMPRODUCT(('J1 - 18 sept'!H$4:H$33=$A17)*1)=0,"",IF(SUMPRODUCT(('J1 - 18 sept'!H$4:H$33=$A17)*1)=1,INDEX('J1 - 18 sept'!$P$4:$P$33,MATCH($A17,'J1 - 18 sept'!H$4:H$33,0)),"⚠ CONFLIT")))</f>
        <v/>
      </c>
      <c r="I17" s="52" t="str">
        <f t="array" ref="I17">IF($A17="","",IF(SUMPRODUCT(('J1 - 18 sept'!I$4:I$33=$A17)*1)=0,"",IF(SUMPRODUCT(('J1 - 18 sept'!I$4:I$33=$A17)*1)=1,INDEX('J1 - 18 sept'!$P$4:$P$33,MATCH($A17,'J1 - 18 sept'!I$4:I$33,0)),"⚠ CONFLIT")))</f>
        <v/>
      </c>
      <c r="J17" s="52" t="str">
        <f t="array" ref="J17">IF($A17="","",IF(SUMPRODUCT(('J1 - 18 sept'!J$4:J$33=$A17)*1)=0,"",IF(SUMPRODUCT(('J1 - 18 sept'!J$4:J$33=$A17)*1)=1,INDEX('J1 - 18 sept'!$P$4:$P$33,MATCH($A17,'J1 - 18 sept'!J$4:J$33,0)),"⚠ CONFLIT")))</f>
        <v/>
      </c>
      <c r="K17" s="52" t="str">
        <f t="array" ref="K17">IF($A17="","",IF(SUMPRODUCT(('J1 - 18 sept'!K$4:K$33=$A17)*1)=0,"",IF(SUMPRODUCT(('J1 - 18 sept'!K$4:K$33=$A17)*1)=1,INDEX('J1 - 18 sept'!$P$4:$P$33,MATCH($A17,'J1 - 18 sept'!K$4:K$33,0)),"⚠ CONFLIT")))</f>
        <v/>
      </c>
      <c r="L17" s="52" t="str">
        <f t="array" ref="L17">IF($A17="","",IF(SUMPRODUCT(('J1 - 18 sept'!L$4:L$33=$A17)*1)=0,"",IF(SUMPRODUCT(('J1 - 18 sept'!L$4:L$33=$A17)*1)=1,INDEX('J1 - 18 sept'!$P$4:$P$33,MATCH($A17,'J1 - 18 sept'!L$4:L$33,0)),"⚠ CONFLIT")))</f>
        <v/>
      </c>
      <c r="M17" s="52" t="str">
        <f t="array" ref="M17">IF($A17="","",IF(SUMPRODUCT(('J1 - 18 sept'!M$4:M$33=$A17)*1)=0,"",IF(SUMPRODUCT(('J1 - 18 sept'!M$4:M$33=$A17)*1)=1,INDEX('J1 - 18 sept'!$P$4:$P$33,MATCH($A17,'J1 - 18 sept'!M$4:M$33,0)),"⚠ CONFLIT")))</f>
        <v/>
      </c>
      <c r="N17" s="52" t="str">
        <f t="array" ref="N17">IF($A17="","",IF(SUMPRODUCT(('J1 - 18 sept'!N$4:N$33=$A17)*1)=0,"",IF(SUMPRODUCT(('J1 - 18 sept'!N$4:N$33=$A17)*1)=1,INDEX('J1 - 18 sept'!$P$4:$P$33,MATCH($A17,'J1 - 18 sept'!N$4:N$33,0)),"⚠ CONFLIT")))</f>
        <v/>
      </c>
      <c r="P17" s="52" t="str">
        <f t="array" ref="P17">IF($A17="","",IF(SUMPRODUCT(('J2 - 19 sept'!C$4:C$33=$A17)*1)=0,"",IF(SUMPRODUCT(('J2 - 19 sept'!C$4:C$33=$A17)*1)=1,INDEX('J2 - 19 sept'!$P$4:$P$33,MATCH($A17,'J2 - 19 sept'!C$4:C$33,0)),"⚠ CONFLIT")))</f>
        <v/>
      </c>
      <c r="Q17" s="52" t="str">
        <f t="array" ref="Q17">IF($A17="","",IF(SUMPRODUCT(('J2 - 19 sept'!D$4:D$33=$A17)*1)=0,"",IF(SUMPRODUCT(('J2 - 19 sept'!D$4:D$33=$A17)*1)=1,INDEX('J2 - 19 sept'!$P$4:$P$33,MATCH($A17,'J2 - 19 sept'!D$4:D$33,0)),"⚠ CONFLIT")))</f>
        <v/>
      </c>
      <c r="R17" s="52" t="str">
        <f t="array" ref="R17">IF($A17="","",IF(SUMPRODUCT(('J2 - 19 sept'!E$4:E$33=$A17)*1)=0,"",IF(SUMPRODUCT(('J2 - 19 sept'!E$4:E$33=$A17)*1)=1,INDEX('J2 - 19 sept'!$P$4:$P$33,MATCH($A17,'J2 - 19 sept'!E$4:E$33,0)),"⚠ CONFLIT")))</f>
        <v/>
      </c>
      <c r="S17" s="52" t="str">
        <f t="array" ref="S17">IF($A17="","",IF(SUMPRODUCT(('J2 - 19 sept'!F$4:F$33=$A17)*1)=0,"",IF(SUMPRODUCT(('J2 - 19 sept'!F$4:F$33=$A17)*1)=1,INDEX('J2 - 19 sept'!$P$4:$P$33,MATCH($A17,'J2 - 19 sept'!F$4:F$33,0)),"⚠ CONFLIT")))</f>
        <v/>
      </c>
      <c r="T17" s="52" t="str">
        <f t="array" ref="T17">IF($A17="","",IF(SUMPRODUCT(('J2 - 19 sept'!G$4:G$33=$A17)*1)=0,"",IF(SUMPRODUCT(('J2 - 19 sept'!G$4:G$33=$A17)*1)=1,INDEX('J2 - 19 sept'!$P$4:$P$33,MATCH($A17,'J2 - 19 sept'!G$4:G$33,0)),"⚠ CONFLIT")))</f>
        <v/>
      </c>
      <c r="U17" s="52" t="str">
        <f t="array" ref="U17">IF($A17="","",IF(SUMPRODUCT(('J2 - 19 sept'!H$4:H$33=$A17)*1)=0,"",IF(SUMPRODUCT(('J2 - 19 sept'!H$4:H$33=$A17)*1)=1,INDEX('J2 - 19 sept'!$P$4:$P$33,MATCH($A17,'J2 - 19 sept'!H$4:H$33,0)),"⚠ CONFLIT")))</f>
        <v/>
      </c>
      <c r="V17" s="52" t="str">
        <f t="array" ref="V17">IF($A17="","",IF(SUMPRODUCT(('J2 - 19 sept'!I$4:I$33=$A17)*1)=0,"",IF(SUMPRODUCT(('J2 - 19 sept'!I$4:I$33=$A17)*1)=1,INDEX('J2 - 19 sept'!$P$4:$P$33,MATCH($A17,'J2 - 19 sept'!I$4:I$33,0)),"⚠ CONFLIT")))</f>
        <v/>
      </c>
      <c r="W17" s="52" t="str">
        <f t="array" ref="W17">IF($A17="","",IF(SUMPRODUCT(('J2 - 19 sept'!J$4:J$33=$A17)*1)=0,"",IF(SUMPRODUCT(('J2 - 19 sept'!J$4:J$33=$A17)*1)=1,INDEX('J2 - 19 sept'!$P$4:$P$33,MATCH($A17,'J2 - 19 sept'!J$4:J$33,0)),"⚠ CONFLIT")))</f>
        <v/>
      </c>
      <c r="X17" s="52" t="str">
        <f t="array" ref="X17">IF($A17="","",IF(SUMPRODUCT(('J2 - 19 sept'!K$4:K$33=$A17)*1)=0,"",IF(SUMPRODUCT(('J2 - 19 sept'!K$4:K$33=$A17)*1)=1,INDEX('J2 - 19 sept'!$P$4:$P$33,MATCH($A17,'J2 - 19 sept'!K$4:K$33,0)),"⚠ CONFLIT")))</f>
        <v/>
      </c>
      <c r="Y17" s="52" t="str">
        <f t="array" ref="Y17">IF($A17="","",IF(SUMPRODUCT(('J2 - 19 sept'!L$4:L$33=$A17)*1)=0,"",IF(SUMPRODUCT(('J2 - 19 sept'!L$4:L$33=$A17)*1)=1,INDEX('J2 - 19 sept'!$P$4:$P$33,MATCH($A17,'J2 - 19 sept'!L$4:L$33,0)),"⚠ CONFLIT")))</f>
        <v/>
      </c>
      <c r="Z17" s="52" t="str">
        <f t="array" ref="Z17">IF($A17="","",IF(SUMPRODUCT(('J2 - 19 sept'!M$4:M$33=$A17)*1)=0,"",IF(SUMPRODUCT(('J2 - 19 sept'!M$4:M$33=$A17)*1)=1,INDEX('J2 - 19 sept'!$P$4:$P$33,MATCH($A17,'J2 - 19 sept'!M$4:M$33,0)),"⚠ CONFLIT")))</f>
        <v/>
      </c>
      <c r="AA17" s="52" t="str">
        <f t="array" ref="AA17">IF($A17="","",IF(SUMPRODUCT(('J2 - 19 sept'!N$4:N$33=$A17)*1)=0,"",IF(SUMPRODUCT(('J2 - 19 sept'!N$4:N$33=$A17)*1)=1,INDEX('J2 - 19 sept'!$P$4:$P$33,MATCH($A17,'J2 - 19 sept'!N$4:N$33,0)),"⚠ CONFLIT")))</f>
        <v/>
      </c>
    </row>
    <row r="18">
      <c r="A18" s="50" t="str">
        <f>IF('Paramètres'!$B$28="","",'Paramètres'!$B$28)</f>
        <v>Gatien</v>
      </c>
      <c r="B18" s="51" t="str">
        <f>IF('Paramètres'!$C$28="","",'Paramètres'!$C$28)</f>
        <v/>
      </c>
      <c r="C18" s="52" t="str">
        <f t="array" ref="C18">IF($A18="","",IF(SUMPRODUCT(('J1 - 18 sept'!C$4:C$33=$A18)*1)=0,"",IF(SUMPRODUCT(('J1 - 18 sept'!C$4:C$33=$A18)*1)=1,INDEX('J1 - 18 sept'!$P$4:$P$33,MATCH($A18,'J1 - 18 sept'!C$4:C$33,0)),"⚠ CONFLIT")))</f>
        <v/>
      </c>
      <c r="D18" s="52" t="str">
        <f t="array" ref="D18">IF($A18="","",IF(SUMPRODUCT(('J1 - 18 sept'!D$4:D$33=$A18)*1)=0,"",IF(SUMPRODUCT(('J1 - 18 sept'!D$4:D$33=$A18)*1)=1,INDEX('J1 - 18 sept'!$P$4:$P$33,MATCH($A18,'J1 - 18 sept'!D$4:D$33,0)),"⚠ CONFLIT")))</f>
        <v/>
      </c>
      <c r="E18" s="52" t="str">
        <f t="array" ref="E18">IF($A18="","",IF(SUMPRODUCT(('J1 - 18 sept'!E$4:E$33=$A18)*1)=0,"",IF(SUMPRODUCT(('J1 - 18 sept'!E$4:E$33=$A18)*1)=1,INDEX('J1 - 18 sept'!$P$4:$P$33,MATCH($A18,'J1 - 18 sept'!E$4:E$33,0)),"⚠ CONFLIT")))</f>
        <v/>
      </c>
      <c r="F18" s="52" t="str">
        <f t="array" ref="F18">IF($A18="","",IF(SUMPRODUCT(('J1 - 18 sept'!F$4:F$33=$A18)*1)=0,"",IF(SUMPRODUCT(('J1 - 18 sept'!F$4:F$33=$A18)*1)=1,INDEX('J1 - 18 sept'!$P$4:$P$33,MATCH($A18,'J1 - 18 sept'!F$4:F$33,0)),"⚠ CONFLIT")))</f>
        <v/>
      </c>
      <c r="G18" s="52" t="str">
        <f t="array" ref="G18">IF($A18="","",IF(SUMPRODUCT(('J1 - 18 sept'!G$4:G$33=$A18)*1)=0,"",IF(SUMPRODUCT(('J1 - 18 sept'!G$4:G$33=$A18)*1)=1,INDEX('J1 - 18 sept'!$P$4:$P$33,MATCH($A18,'J1 - 18 sept'!G$4:G$33,0)),"⚠ CONFLIT")))</f>
        <v/>
      </c>
      <c r="H18" s="52" t="str">
        <f t="array" ref="H18">IF($A18="","",IF(SUMPRODUCT(('J1 - 18 sept'!H$4:H$33=$A18)*1)=0,"",IF(SUMPRODUCT(('J1 - 18 sept'!H$4:H$33=$A18)*1)=1,INDEX('J1 - 18 sept'!$P$4:$P$33,MATCH($A18,'J1 - 18 sept'!H$4:H$33,0)),"⚠ CONFLIT")))</f>
        <v/>
      </c>
      <c r="I18" s="52" t="str">
        <f t="array" ref="I18">IF($A18="","",IF(SUMPRODUCT(('J1 - 18 sept'!I$4:I$33=$A18)*1)=0,"",IF(SUMPRODUCT(('J1 - 18 sept'!I$4:I$33=$A18)*1)=1,INDEX('J1 - 18 sept'!$P$4:$P$33,MATCH($A18,'J1 - 18 sept'!I$4:I$33,0)),"⚠ CONFLIT")))</f>
        <v/>
      </c>
      <c r="J18" s="52" t="str">
        <f t="array" ref="J18">IF($A18="","",IF(SUMPRODUCT(('J1 - 18 sept'!J$4:J$33=$A18)*1)=0,"",IF(SUMPRODUCT(('J1 - 18 sept'!J$4:J$33=$A18)*1)=1,INDEX('J1 - 18 sept'!$P$4:$P$33,MATCH($A18,'J1 - 18 sept'!J$4:J$33,0)),"⚠ CONFLIT")))</f>
        <v/>
      </c>
      <c r="K18" s="52" t="str">
        <f t="array" ref="K18">IF($A18="","",IF(SUMPRODUCT(('J1 - 18 sept'!K$4:K$33=$A18)*1)=0,"",IF(SUMPRODUCT(('J1 - 18 sept'!K$4:K$33=$A18)*1)=1,INDEX('J1 - 18 sept'!$P$4:$P$33,MATCH($A18,'J1 - 18 sept'!K$4:K$33,0)),"⚠ CONFLIT")))</f>
        <v/>
      </c>
      <c r="L18" s="52" t="str">
        <f t="array" ref="L18">IF($A18="","",IF(SUMPRODUCT(('J1 - 18 sept'!L$4:L$33=$A18)*1)=0,"",IF(SUMPRODUCT(('J1 - 18 sept'!L$4:L$33=$A18)*1)=1,INDEX('J1 - 18 sept'!$P$4:$P$33,MATCH($A18,'J1 - 18 sept'!L$4:L$33,0)),"⚠ CONFLIT")))</f>
        <v/>
      </c>
      <c r="M18" s="52" t="str">
        <f t="array" ref="M18">IF($A18="","",IF(SUMPRODUCT(('J1 - 18 sept'!M$4:M$33=$A18)*1)=0,"",IF(SUMPRODUCT(('J1 - 18 sept'!M$4:M$33=$A18)*1)=1,INDEX('J1 - 18 sept'!$P$4:$P$33,MATCH($A18,'J1 - 18 sept'!M$4:M$33,0)),"⚠ CONFLIT")))</f>
        <v/>
      </c>
      <c r="N18" s="52" t="str">
        <f t="array" ref="N18">IF($A18="","",IF(SUMPRODUCT(('J1 - 18 sept'!N$4:N$33=$A18)*1)=0,"",IF(SUMPRODUCT(('J1 - 18 sept'!N$4:N$33=$A18)*1)=1,INDEX('J1 - 18 sept'!$P$4:$P$33,MATCH($A18,'J1 - 18 sept'!N$4:N$33,0)),"⚠ CONFLIT")))</f>
        <v/>
      </c>
      <c r="P18" s="52" t="str">
        <f t="array" ref="P18">IF($A18="","",IF(SUMPRODUCT(('J2 - 19 sept'!C$4:C$33=$A18)*1)=0,"",IF(SUMPRODUCT(('J2 - 19 sept'!C$4:C$33=$A18)*1)=1,INDEX('J2 - 19 sept'!$P$4:$P$33,MATCH($A18,'J2 - 19 sept'!C$4:C$33,0)),"⚠ CONFLIT")))</f>
        <v/>
      </c>
      <c r="Q18" s="52" t="str">
        <f t="array" ref="Q18">IF($A18="","",IF(SUMPRODUCT(('J2 - 19 sept'!D$4:D$33=$A18)*1)=0,"",IF(SUMPRODUCT(('J2 - 19 sept'!D$4:D$33=$A18)*1)=1,INDEX('J2 - 19 sept'!$P$4:$P$33,MATCH($A18,'J2 - 19 sept'!D$4:D$33,0)),"⚠ CONFLIT")))</f>
        <v/>
      </c>
      <c r="R18" s="52" t="str">
        <f t="array" ref="R18">IF($A18="","",IF(SUMPRODUCT(('J2 - 19 sept'!E$4:E$33=$A18)*1)=0,"",IF(SUMPRODUCT(('J2 - 19 sept'!E$4:E$33=$A18)*1)=1,INDEX('J2 - 19 sept'!$P$4:$P$33,MATCH($A18,'J2 - 19 sept'!E$4:E$33,0)),"⚠ CONFLIT")))</f>
        <v/>
      </c>
      <c r="S18" s="52" t="str">
        <f t="array" ref="S18">IF($A18="","",IF(SUMPRODUCT(('J2 - 19 sept'!F$4:F$33=$A18)*1)=0,"",IF(SUMPRODUCT(('J2 - 19 sept'!F$4:F$33=$A18)*1)=1,INDEX('J2 - 19 sept'!$P$4:$P$33,MATCH($A18,'J2 - 19 sept'!F$4:F$33,0)),"⚠ CONFLIT")))</f>
        <v/>
      </c>
      <c r="T18" s="52" t="str">
        <f t="array" ref="T18">IF($A18="","",IF(SUMPRODUCT(('J2 - 19 sept'!G$4:G$33=$A18)*1)=0,"",IF(SUMPRODUCT(('J2 - 19 sept'!G$4:G$33=$A18)*1)=1,INDEX('J2 - 19 sept'!$P$4:$P$33,MATCH($A18,'J2 - 19 sept'!G$4:G$33,0)),"⚠ CONFLIT")))</f>
        <v/>
      </c>
      <c r="U18" s="52" t="str">
        <f t="array" ref="U18">IF($A18="","",IF(SUMPRODUCT(('J2 - 19 sept'!H$4:H$33=$A18)*1)=0,"",IF(SUMPRODUCT(('J2 - 19 sept'!H$4:H$33=$A18)*1)=1,INDEX('J2 - 19 sept'!$P$4:$P$33,MATCH($A18,'J2 - 19 sept'!H$4:H$33,0)),"⚠ CONFLIT")))</f>
        <v/>
      </c>
      <c r="V18" s="52" t="str">
        <f t="array" ref="V18">IF($A18="","",IF(SUMPRODUCT(('J2 - 19 sept'!I$4:I$33=$A18)*1)=0,"",IF(SUMPRODUCT(('J2 - 19 sept'!I$4:I$33=$A18)*1)=1,INDEX('J2 - 19 sept'!$P$4:$P$33,MATCH($A18,'J2 - 19 sept'!I$4:I$33,0)),"⚠ CONFLIT")))</f>
        <v/>
      </c>
      <c r="W18" s="52" t="str">
        <f t="array" ref="W18">IF($A18="","",IF(SUMPRODUCT(('J2 - 19 sept'!J$4:J$33=$A18)*1)=0,"",IF(SUMPRODUCT(('J2 - 19 sept'!J$4:J$33=$A18)*1)=1,INDEX('J2 - 19 sept'!$P$4:$P$33,MATCH($A18,'J2 - 19 sept'!J$4:J$33,0)),"⚠ CONFLIT")))</f>
        <v/>
      </c>
      <c r="X18" s="52" t="str">
        <f t="array" ref="X18">IF($A18="","",IF(SUMPRODUCT(('J2 - 19 sept'!K$4:K$33=$A18)*1)=0,"",IF(SUMPRODUCT(('J2 - 19 sept'!K$4:K$33=$A18)*1)=1,INDEX('J2 - 19 sept'!$P$4:$P$33,MATCH($A18,'J2 - 19 sept'!K$4:K$33,0)),"⚠ CONFLIT")))</f>
        <v/>
      </c>
      <c r="Y18" s="52" t="str">
        <f t="array" ref="Y18">IF($A18="","",IF(SUMPRODUCT(('J2 - 19 sept'!L$4:L$33=$A18)*1)=0,"",IF(SUMPRODUCT(('J2 - 19 sept'!L$4:L$33=$A18)*1)=1,INDEX('J2 - 19 sept'!$P$4:$P$33,MATCH($A18,'J2 - 19 sept'!L$4:L$33,0)),"⚠ CONFLIT")))</f>
        <v/>
      </c>
      <c r="Z18" s="52" t="str">
        <f t="array" ref="Z18">IF($A18="","",IF(SUMPRODUCT(('J2 - 19 sept'!M$4:M$33=$A18)*1)=0,"",IF(SUMPRODUCT(('J2 - 19 sept'!M$4:M$33=$A18)*1)=1,INDEX('J2 - 19 sept'!$P$4:$P$33,MATCH($A18,'J2 - 19 sept'!M$4:M$33,0)),"⚠ CONFLIT")))</f>
        <v/>
      </c>
      <c r="AA18" s="52" t="str">
        <f t="array" ref="AA18">IF($A18="","",IF(SUMPRODUCT(('J2 - 19 sept'!N$4:N$33=$A18)*1)=0,"",IF(SUMPRODUCT(('J2 - 19 sept'!N$4:N$33=$A18)*1)=1,INDEX('J2 - 19 sept'!$P$4:$P$33,MATCH($A18,'J2 - 19 sept'!N$4:N$33,0)),"⚠ CONFLIT")))</f>
        <v/>
      </c>
    </row>
    <row r="19">
      <c r="A19" s="50" t="str">
        <f>IF('Paramètres'!$B$29="","",'Paramètres'!$B$29)</f>
        <v>Léna</v>
      </c>
      <c r="B19" s="51" t="str">
        <f>IF('Paramètres'!$C$29="","",'Paramètres'!$C$29)</f>
        <v/>
      </c>
      <c r="C19" s="52" t="str">
        <f t="array" ref="C19">IF($A19="","",IF(SUMPRODUCT(('J1 - 18 sept'!C$4:C$33=$A19)*1)=0,"",IF(SUMPRODUCT(('J1 - 18 sept'!C$4:C$33=$A19)*1)=1,INDEX('J1 - 18 sept'!$P$4:$P$33,MATCH($A19,'J1 - 18 sept'!C$4:C$33,0)),"⚠ CONFLIT")))</f>
        <v/>
      </c>
      <c r="D19" s="52" t="str">
        <f t="array" ref="D19">IF($A19="","",IF(SUMPRODUCT(('J1 - 18 sept'!D$4:D$33=$A19)*1)=0,"",IF(SUMPRODUCT(('J1 - 18 sept'!D$4:D$33=$A19)*1)=1,INDEX('J1 - 18 sept'!$P$4:$P$33,MATCH($A19,'J1 - 18 sept'!D$4:D$33,0)),"⚠ CONFLIT")))</f>
        <v/>
      </c>
      <c r="E19" s="52" t="str">
        <f t="array" ref="E19">IF($A19="","",IF(SUMPRODUCT(('J1 - 18 sept'!E$4:E$33=$A19)*1)=0,"",IF(SUMPRODUCT(('J1 - 18 sept'!E$4:E$33=$A19)*1)=1,INDEX('J1 - 18 sept'!$P$4:$P$33,MATCH($A19,'J1 - 18 sept'!E$4:E$33,0)),"⚠ CONFLIT")))</f>
        <v/>
      </c>
      <c r="F19" s="52" t="str">
        <f t="array" ref="F19">IF($A19="","",IF(SUMPRODUCT(('J1 - 18 sept'!F$4:F$33=$A19)*1)=0,"",IF(SUMPRODUCT(('J1 - 18 sept'!F$4:F$33=$A19)*1)=1,INDEX('J1 - 18 sept'!$P$4:$P$33,MATCH($A19,'J1 - 18 sept'!F$4:F$33,0)),"⚠ CONFLIT")))</f>
        <v/>
      </c>
      <c r="G19" s="52" t="str">
        <f t="array" ref="G19">IF($A19="","",IF(SUMPRODUCT(('J1 - 18 sept'!G$4:G$33=$A19)*1)=0,"",IF(SUMPRODUCT(('J1 - 18 sept'!G$4:G$33=$A19)*1)=1,INDEX('J1 - 18 sept'!$P$4:$P$33,MATCH($A19,'J1 - 18 sept'!G$4:G$33,0)),"⚠ CONFLIT")))</f>
        <v/>
      </c>
      <c r="H19" s="52" t="str">
        <f t="array" ref="H19">IF($A19="","",IF(SUMPRODUCT(('J1 - 18 sept'!H$4:H$33=$A19)*1)=0,"",IF(SUMPRODUCT(('J1 - 18 sept'!H$4:H$33=$A19)*1)=1,INDEX('J1 - 18 sept'!$P$4:$P$33,MATCH($A19,'J1 - 18 sept'!H$4:H$33,0)),"⚠ CONFLIT")))</f>
        <v/>
      </c>
      <c r="I19" s="52" t="str">
        <f t="array" ref="I19">IF($A19="","",IF(SUMPRODUCT(('J1 - 18 sept'!I$4:I$33=$A19)*1)=0,"",IF(SUMPRODUCT(('J1 - 18 sept'!I$4:I$33=$A19)*1)=1,INDEX('J1 - 18 sept'!$P$4:$P$33,MATCH($A19,'J1 - 18 sept'!I$4:I$33,0)),"⚠ CONFLIT")))</f>
        <v/>
      </c>
      <c r="J19" s="52" t="str">
        <f t="array" ref="J19">IF($A19="","",IF(SUMPRODUCT(('J1 - 18 sept'!J$4:J$33=$A19)*1)=0,"",IF(SUMPRODUCT(('J1 - 18 sept'!J$4:J$33=$A19)*1)=1,INDEX('J1 - 18 sept'!$P$4:$P$33,MATCH($A19,'J1 - 18 sept'!J$4:J$33,0)),"⚠ CONFLIT")))</f>
        <v/>
      </c>
      <c r="K19" s="52" t="str">
        <f t="array" ref="K19">IF($A19="","",IF(SUMPRODUCT(('J1 - 18 sept'!K$4:K$33=$A19)*1)=0,"",IF(SUMPRODUCT(('J1 - 18 sept'!K$4:K$33=$A19)*1)=1,INDEX('J1 - 18 sept'!$P$4:$P$33,MATCH($A19,'J1 - 18 sept'!K$4:K$33,0)),"⚠ CONFLIT")))</f>
        <v/>
      </c>
      <c r="L19" s="52" t="str">
        <f t="array" ref="L19">IF($A19="","",IF(SUMPRODUCT(('J1 - 18 sept'!L$4:L$33=$A19)*1)=0,"",IF(SUMPRODUCT(('J1 - 18 sept'!L$4:L$33=$A19)*1)=1,INDEX('J1 - 18 sept'!$P$4:$P$33,MATCH($A19,'J1 - 18 sept'!L$4:L$33,0)),"⚠ CONFLIT")))</f>
        <v/>
      </c>
      <c r="M19" s="52" t="str">
        <f t="array" ref="M19">IF($A19="","",IF(SUMPRODUCT(('J1 - 18 sept'!M$4:M$33=$A19)*1)=0,"",IF(SUMPRODUCT(('J1 - 18 sept'!M$4:M$33=$A19)*1)=1,INDEX('J1 - 18 sept'!$P$4:$P$33,MATCH($A19,'J1 - 18 sept'!M$4:M$33,0)),"⚠ CONFLIT")))</f>
        <v/>
      </c>
      <c r="N19" s="52" t="str">
        <f t="array" ref="N19">IF($A19="","",IF(SUMPRODUCT(('J1 - 18 sept'!N$4:N$33=$A19)*1)=0,"",IF(SUMPRODUCT(('J1 - 18 sept'!N$4:N$33=$A19)*1)=1,INDEX('J1 - 18 sept'!$P$4:$P$33,MATCH($A19,'J1 - 18 sept'!N$4:N$33,0)),"⚠ CONFLIT")))</f>
        <v/>
      </c>
      <c r="P19" s="52" t="str">
        <f t="array" ref="P19">IF($A19="","",IF(SUMPRODUCT(('J2 - 19 sept'!C$4:C$33=$A19)*1)=0,"",IF(SUMPRODUCT(('J2 - 19 sept'!C$4:C$33=$A19)*1)=1,INDEX('J2 - 19 sept'!$P$4:$P$33,MATCH($A19,'J2 - 19 sept'!C$4:C$33,0)),"⚠ CONFLIT")))</f>
        <v/>
      </c>
      <c r="Q19" s="52" t="str">
        <f t="array" ref="Q19">IF($A19="","",IF(SUMPRODUCT(('J2 - 19 sept'!D$4:D$33=$A19)*1)=0,"",IF(SUMPRODUCT(('J2 - 19 sept'!D$4:D$33=$A19)*1)=1,INDEX('J2 - 19 sept'!$P$4:$P$33,MATCH($A19,'J2 - 19 sept'!D$4:D$33,0)),"⚠ CONFLIT")))</f>
        <v/>
      </c>
      <c r="R19" s="52" t="str">
        <f t="array" ref="R19">IF($A19="","",IF(SUMPRODUCT(('J2 - 19 sept'!E$4:E$33=$A19)*1)=0,"",IF(SUMPRODUCT(('J2 - 19 sept'!E$4:E$33=$A19)*1)=1,INDEX('J2 - 19 sept'!$P$4:$P$33,MATCH($A19,'J2 - 19 sept'!E$4:E$33,0)),"⚠ CONFLIT")))</f>
        <v/>
      </c>
      <c r="S19" s="52" t="str">
        <f t="array" ref="S19">IF($A19="","",IF(SUMPRODUCT(('J2 - 19 sept'!F$4:F$33=$A19)*1)=0,"",IF(SUMPRODUCT(('J2 - 19 sept'!F$4:F$33=$A19)*1)=1,INDEX('J2 - 19 sept'!$P$4:$P$33,MATCH($A19,'J2 - 19 sept'!F$4:F$33,0)),"⚠ CONFLIT")))</f>
        <v/>
      </c>
      <c r="T19" s="52" t="str">
        <f t="array" ref="T19">IF($A19="","",IF(SUMPRODUCT(('J2 - 19 sept'!G$4:G$33=$A19)*1)=0,"",IF(SUMPRODUCT(('J2 - 19 sept'!G$4:G$33=$A19)*1)=1,INDEX('J2 - 19 sept'!$P$4:$P$33,MATCH($A19,'J2 - 19 sept'!G$4:G$33,0)),"⚠ CONFLIT")))</f>
        <v/>
      </c>
      <c r="U19" s="52" t="str">
        <f t="array" ref="U19">IF($A19="","",IF(SUMPRODUCT(('J2 - 19 sept'!H$4:H$33=$A19)*1)=0,"",IF(SUMPRODUCT(('J2 - 19 sept'!H$4:H$33=$A19)*1)=1,INDEX('J2 - 19 sept'!$P$4:$P$33,MATCH($A19,'J2 - 19 sept'!H$4:H$33,0)),"⚠ CONFLIT")))</f>
        <v/>
      </c>
      <c r="V19" s="52" t="str">
        <f t="array" ref="V19">IF($A19="","",IF(SUMPRODUCT(('J2 - 19 sept'!I$4:I$33=$A19)*1)=0,"",IF(SUMPRODUCT(('J2 - 19 sept'!I$4:I$33=$A19)*1)=1,INDEX('J2 - 19 sept'!$P$4:$P$33,MATCH($A19,'J2 - 19 sept'!I$4:I$33,0)),"⚠ CONFLIT")))</f>
        <v/>
      </c>
      <c r="W19" s="52" t="str">
        <f t="array" ref="W19">IF($A19="","",IF(SUMPRODUCT(('J2 - 19 sept'!J$4:J$33=$A19)*1)=0,"",IF(SUMPRODUCT(('J2 - 19 sept'!J$4:J$33=$A19)*1)=1,INDEX('J2 - 19 sept'!$P$4:$P$33,MATCH($A19,'J2 - 19 sept'!J$4:J$33,0)),"⚠ CONFLIT")))</f>
        <v/>
      </c>
      <c r="X19" s="52" t="str">
        <f t="array" ref="X19">IF($A19="","",IF(SUMPRODUCT(('J2 - 19 sept'!K$4:K$33=$A19)*1)=0,"",IF(SUMPRODUCT(('J2 - 19 sept'!K$4:K$33=$A19)*1)=1,INDEX('J2 - 19 sept'!$P$4:$P$33,MATCH($A19,'J2 - 19 sept'!K$4:K$33,0)),"⚠ CONFLIT")))</f>
        <v/>
      </c>
      <c r="Y19" s="52" t="str">
        <f t="array" ref="Y19">IF($A19="","",IF(SUMPRODUCT(('J2 - 19 sept'!L$4:L$33=$A19)*1)=0,"",IF(SUMPRODUCT(('J2 - 19 sept'!L$4:L$33=$A19)*1)=1,INDEX('J2 - 19 sept'!$P$4:$P$33,MATCH($A19,'J2 - 19 sept'!L$4:L$33,0)),"⚠ CONFLIT")))</f>
        <v/>
      </c>
      <c r="Z19" s="52" t="str">
        <f t="array" ref="Z19">IF($A19="","",IF(SUMPRODUCT(('J2 - 19 sept'!M$4:M$33=$A19)*1)=0,"",IF(SUMPRODUCT(('J2 - 19 sept'!M$4:M$33=$A19)*1)=1,INDEX('J2 - 19 sept'!$P$4:$P$33,MATCH($A19,'J2 - 19 sept'!M$4:M$33,0)),"⚠ CONFLIT")))</f>
        <v/>
      </c>
      <c r="AA19" s="52" t="str">
        <f t="array" ref="AA19">IF($A19="","",IF(SUMPRODUCT(('J2 - 19 sept'!N$4:N$33=$A19)*1)=0,"",IF(SUMPRODUCT(('J2 - 19 sept'!N$4:N$33=$A19)*1)=1,INDEX('J2 - 19 sept'!$P$4:$P$33,MATCH($A19,'J2 - 19 sept'!N$4:N$33,0)),"⚠ CONFLIT")))</f>
        <v/>
      </c>
    </row>
    <row r="20">
      <c r="A20" s="50" t="str">
        <f>IF('Paramètres'!$B$30="","",'Paramètres'!$B$30)</f>
        <v>Louis</v>
      </c>
      <c r="B20" s="51" t="str">
        <f>IF('Paramètres'!$C$30="","",'Paramètres'!$C$30)</f>
        <v>Équipe 1</v>
      </c>
      <c r="C20" s="52" t="str">
        <f t="array" ref="C20">IF($A20="","",IF(SUMPRODUCT(('J1 - 18 sept'!C$4:C$33=$A20)*1)=0,"",IF(SUMPRODUCT(('J1 - 18 sept'!C$4:C$33=$A20)*1)=1,INDEX('J1 - 18 sept'!$P$4:$P$33,MATCH($A20,'J1 - 18 sept'!C$4:C$33,0)),"⚠ CONFLIT")))</f>
        <v/>
      </c>
      <c r="D20" s="52" t="str">
        <f t="array" ref="D20">IF($A20="","",IF(SUMPRODUCT(('J1 - 18 sept'!D$4:D$33=$A20)*1)=0,"",IF(SUMPRODUCT(('J1 - 18 sept'!D$4:D$33=$A20)*1)=1,INDEX('J1 - 18 sept'!$P$4:$P$33,MATCH($A20,'J1 - 18 sept'!D$4:D$33,0)),"⚠ CONFLIT")))</f>
        <v/>
      </c>
      <c r="E20" s="52" t="str">
        <f t="array" ref="E20">IF($A20="","",IF(SUMPRODUCT(('J1 - 18 sept'!E$4:E$33=$A20)*1)=0,"",IF(SUMPRODUCT(('J1 - 18 sept'!E$4:E$33=$A20)*1)=1,INDEX('J1 - 18 sept'!$P$4:$P$33,MATCH($A20,'J1 - 18 sept'!E$4:E$33,0)),"⚠ CONFLIT")))</f>
        <v/>
      </c>
      <c r="F20" s="52" t="str">
        <f t="array" ref="F20">IF($A20="","",IF(SUMPRODUCT(('J1 - 18 sept'!F$4:F$33=$A20)*1)=0,"",IF(SUMPRODUCT(('J1 - 18 sept'!F$4:F$33=$A20)*1)=1,INDEX('J1 - 18 sept'!$P$4:$P$33,MATCH($A20,'J1 - 18 sept'!F$4:F$33,0)),"⚠ CONFLIT")))</f>
        <v/>
      </c>
      <c r="G20" s="52" t="str">
        <f t="array" ref="G20">IF($A20="","",IF(SUMPRODUCT(('J1 - 18 sept'!G$4:G$33=$A20)*1)=0,"",IF(SUMPRODUCT(('J1 - 18 sept'!G$4:G$33=$A20)*1)=1,INDEX('J1 - 18 sept'!$P$4:$P$33,MATCH($A20,'J1 - 18 sept'!G$4:G$33,0)),"⚠ CONFLIT")))</f>
        <v/>
      </c>
      <c r="H20" s="52" t="str">
        <f t="array" ref="H20">IF($A20="","",IF(SUMPRODUCT(('J1 - 18 sept'!H$4:H$33=$A20)*1)=0,"",IF(SUMPRODUCT(('J1 - 18 sept'!H$4:H$33=$A20)*1)=1,INDEX('J1 - 18 sept'!$P$4:$P$33,MATCH($A20,'J1 - 18 sept'!H$4:H$33,0)),"⚠ CONFLIT")))</f>
        <v/>
      </c>
      <c r="I20" s="52" t="str">
        <f t="array" ref="I20">IF($A20="","",IF(SUMPRODUCT(('J1 - 18 sept'!I$4:I$33=$A20)*1)=0,"",IF(SUMPRODUCT(('J1 - 18 sept'!I$4:I$33=$A20)*1)=1,INDEX('J1 - 18 sept'!$P$4:$P$33,MATCH($A20,'J1 - 18 sept'!I$4:I$33,0)),"⚠ CONFLIT")))</f>
        <v/>
      </c>
      <c r="J20" s="52" t="str">
        <f t="array" ref="J20">IF($A20="","",IF(SUMPRODUCT(('J1 - 18 sept'!J$4:J$33=$A20)*1)=0,"",IF(SUMPRODUCT(('J1 - 18 sept'!J$4:J$33=$A20)*1)=1,INDEX('J1 - 18 sept'!$P$4:$P$33,MATCH($A20,'J1 - 18 sept'!J$4:J$33,0)),"⚠ CONFLIT")))</f>
        <v/>
      </c>
      <c r="K20" s="52" t="str">
        <f t="array" ref="K20">IF($A20="","",IF(SUMPRODUCT(('J1 - 18 sept'!K$4:K$33=$A20)*1)=0,"",IF(SUMPRODUCT(('J1 - 18 sept'!K$4:K$33=$A20)*1)=1,INDEX('J1 - 18 sept'!$P$4:$P$33,MATCH($A20,'J1 - 18 sept'!K$4:K$33,0)),"⚠ CONFLIT")))</f>
        <v/>
      </c>
      <c r="L20" s="52" t="str">
        <f t="array" ref="L20">IF($A20="","",IF(SUMPRODUCT(('J1 - 18 sept'!L$4:L$33=$A20)*1)=0,"",IF(SUMPRODUCT(('J1 - 18 sept'!L$4:L$33=$A20)*1)=1,INDEX('J1 - 18 sept'!$P$4:$P$33,MATCH($A20,'J1 - 18 sept'!L$4:L$33,0)),"⚠ CONFLIT")))</f>
        <v/>
      </c>
      <c r="M20" s="52" t="str">
        <f t="array" ref="M20">IF($A20="","",IF(SUMPRODUCT(('J1 - 18 sept'!M$4:M$33=$A20)*1)=0,"",IF(SUMPRODUCT(('J1 - 18 sept'!M$4:M$33=$A20)*1)=1,INDEX('J1 - 18 sept'!$P$4:$P$33,MATCH($A20,'J1 - 18 sept'!M$4:M$33,0)),"⚠ CONFLIT")))</f>
        <v/>
      </c>
      <c r="N20" s="52" t="str">
        <f t="array" ref="N20">IF($A20="","",IF(SUMPRODUCT(('J1 - 18 sept'!N$4:N$33=$A20)*1)=0,"",IF(SUMPRODUCT(('J1 - 18 sept'!N$4:N$33=$A20)*1)=1,INDEX('J1 - 18 sept'!$P$4:$P$33,MATCH($A20,'J1 - 18 sept'!N$4:N$33,0)),"⚠ CONFLIT")))</f>
        <v/>
      </c>
      <c r="P20" s="52" t="str">
        <f t="array" ref="P20">IF($A20="","",IF(SUMPRODUCT(('J2 - 19 sept'!C$4:C$33=$A20)*1)=0,"",IF(SUMPRODUCT(('J2 - 19 sept'!C$4:C$33=$A20)*1)=1,INDEX('J2 - 19 sept'!$P$4:$P$33,MATCH($A20,'J2 - 19 sept'!C$4:C$33,0)),"⚠ CONFLIT")))</f>
        <v/>
      </c>
      <c r="Q20" s="52" t="str">
        <f t="array" ref="Q20">IF($A20="","",IF(SUMPRODUCT(('J2 - 19 sept'!D$4:D$33=$A20)*1)=0,"",IF(SUMPRODUCT(('J2 - 19 sept'!D$4:D$33=$A20)*1)=1,INDEX('J2 - 19 sept'!$P$4:$P$33,MATCH($A20,'J2 - 19 sept'!D$4:D$33,0)),"⚠ CONFLIT")))</f>
        <v/>
      </c>
      <c r="R20" s="52" t="str">
        <f t="array" ref="R20">IF($A20="","",IF(SUMPRODUCT(('J2 - 19 sept'!E$4:E$33=$A20)*1)=0,"",IF(SUMPRODUCT(('J2 - 19 sept'!E$4:E$33=$A20)*1)=1,INDEX('J2 - 19 sept'!$P$4:$P$33,MATCH($A20,'J2 - 19 sept'!E$4:E$33,0)),"⚠ CONFLIT")))</f>
        <v/>
      </c>
      <c r="S20" s="52" t="str">
        <f t="array" ref="S20">IF($A20="","",IF(SUMPRODUCT(('J2 - 19 sept'!F$4:F$33=$A20)*1)=0,"",IF(SUMPRODUCT(('J2 - 19 sept'!F$4:F$33=$A20)*1)=1,INDEX('J2 - 19 sept'!$P$4:$P$33,MATCH($A20,'J2 - 19 sept'!F$4:F$33,0)),"⚠ CONFLIT")))</f>
        <v/>
      </c>
      <c r="T20" s="52" t="str">
        <f t="array" ref="T20">IF($A20="","",IF(SUMPRODUCT(('J2 - 19 sept'!G$4:G$33=$A20)*1)=0,"",IF(SUMPRODUCT(('J2 - 19 sept'!G$4:G$33=$A20)*1)=1,INDEX('J2 - 19 sept'!$P$4:$P$33,MATCH($A20,'J2 - 19 sept'!G$4:G$33,0)),"⚠ CONFLIT")))</f>
        <v/>
      </c>
      <c r="U20" s="52" t="str">
        <f t="array" ref="U20">IF($A20="","",IF(SUMPRODUCT(('J2 - 19 sept'!H$4:H$33=$A20)*1)=0,"",IF(SUMPRODUCT(('J2 - 19 sept'!H$4:H$33=$A20)*1)=1,INDEX('J2 - 19 sept'!$P$4:$P$33,MATCH($A20,'J2 - 19 sept'!H$4:H$33,0)),"⚠ CONFLIT")))</f>
        <v/>
      </c>
      <c r="V20" s="52" t="str">
        <f t="array" ref="V20">IF($A20="","",IF(SUMPRODUCT(('J2 - 19 sept'!I$4:I$33=$A20)*1)=0,"",IF(SUMPRODUCT(('J2 - 19 sept'!I$4:I$33=$A20)*1)=1,INDEX('J2 - 19 sept'!$P$4:$P$33,MATCH($A20,'J2 - 19 sept'!I$4:I$33,0)),"⚠ CONFLIT")))</f>
        <v/>
      </c>
      <c r="W20" s="52" t="str">
        <f t="array" ref="W20">IF($A20="","",IF(SUMPRODUCT(('J2 - 19 sept'!J$4:J$33=$A20)*1)=0,"",IF(SUMPRODUCT(('J2 - 19 sept'!J$4:J$33=$A20)*1)=1,INDEX('J2 - 19 sept'!$P$4:$P$33,MATCH($A20,'J2 - 19 sept'!J$4:J$33,0)),"⚠ CONFLIT")))</f>
        <v/>
      </c>
      <c r="X20" s="52" t="str">
        <f t="array" ref="X20">IF($A20="","",IF(SUMPRODUCT(('J2 - 19 sept'!K$4:K$33=$A20)*1)=0,"",IF(SUMPRODUCT(('J2 - 19 sept'!K$4:K$33=$A20)*1)=1,INDEX('J2 - 19 sept'!$P$4:$P$33,MATCH($A20,'J2 - 19 sept'!K$4:K$33,0)),"⚠ CONFLIT")))</f>
        <v/>
      </c>
      <c r="Y20" s="52" t="str">
        <f t="array" ref="Y20">IF($A20="","",IF(SUMPRODUCT(('J2 - 19 sept'!L$4:L$33=$A20)*1)=0,"",IF(SUMPRODUCT(('J2 - 19 sept'!L$4:L$33=$A20)*1)=1,INDEX('J2 - 19 sept'!$P$4:$P$33,MATCH($A20,'J2 - 19 sept'!L$4:L$33,0)),"⚠ CONFLIT")))</f>
        <v/>
      </c>
      <c r="Z20" s="52" t="str">
        <f t="array" ref="Z20">IF($A20="","",IF(SUMPRODUCT(('J2 - 19 sept'!M$4:M$33=$A20)*1)=0,"",IF(SUMPRODUCT(('J2 - 19 sept'!M$4:M$33=$A20)*1)=1,INDEX('J2 - 19 sept'!$P$4:$P$33,MATCH($A20,'J2 - 19 sept'!M$4:M$33,0)),"⚠ CONFLIT")))</f>
        <v/>
      </c>
      <c r="AA20" s="52" t="str">
        <f t="array" ref="AA20">IF($A20="","",IF(SUMPRODUCT(('J2 - 19 sept'!N$4:N$33=$A20)*1)=0,"",IF(SUMPRODUCT(('J2 - 19 sept'!N$4:N$33=$A20)*1)=1,INDEX('J2 - 19 sept'!$P$4:$P$33,MATCH($A20,'J2 - 19 sept'!N$4:N$33,0)),"⚠ CONFLIT")))</f>
        <v/>
      </c>
    </row>
    <row r="21" ht="15.75" customHeight="1">
      <c r="A21" s="50" t="str">
        <f>IF('Paramètres'!$B$31="","",'Paramètres'!$B$31)</f>
        <v>Malia</v>
      </c>
      <c r="B21" s="51" t="str">
        <f>IF('Paramètres'!$C$31="","",'Paramètres'!$C$31)</f>
        <v/>
      </c>
      <c r="C21" s="52" t="str">
        <f t="array" ref="C21">IF($A21="","",IF(SUMPRODUCT(('J1 - 18 sept'!C$4:C$33=$A21)*1)=0,"",IF(SUMPRODUCT(('J1 - 18 sept'!C$4:C$33=$A21)*1)=1,INDEX('J1 - 18 sept'!$P$4:$P$33,MATCH($A21,'J1 - 18 sept'!C$4:C$33,0)),"⚠ CONFLIT")))</f>
        <v/>
      </c>
      <c r="D21" s="52" t="str">
        <f t="array" ref="D21">IF($A21="","",IF(SUMPRODUCT(('J1 - 18 sept'!D$4:D$33=$A21)*1)=0,"",IF(SUMPRODUCT(('J1 - 18 sept'!D$4:D$33=$A21)*1)=1,INDEX('J1 - 18 sept'!$P$4:$P$33,MATCH($A21,'J1 - 18 sept'!D$4:D$33,0)),"⚠ CONFLIT")))</f>
        <v/>
      </c>
      <c r="E21" s="52" t="str">
        <f t="array" ref="E21">IF($A21="","",IF(SUMPRODUCT(('J1 - 18 sept'!E$4:E$33=$A21)*1)=0,"",IF(SUMPRODUCT(('J1 - 18 sept'!E$4:E$33=$A21)*1)=1,INDEX('J1 - 18 sept'!$P$4:$P$33,MATCH($A21,'J1 - 18 sept'!E$4:E$33,0)),"⚠ CONFLIT")))</f>
        <v/>
      </c>
      <c r="F21" s="52" t="str">
        <f t="array" ref="F21">IF($A21="","",IF(SUMPRODUCT(('J1 - 18 sept'!F$4:F$33=$A21)*1)=0,"",IF(SUMPRODUCT(('J1 - 18 sept'!F$4:F$33=$A21)*1)=1,INDEX('J1 - 18 sept'!$P$4:$P$33,MATCH($A21,'J1 - 18 sept'!F$4:F$33,0)),"⚠ CONFLIT")))</f>
        <v/>
      </c>
      <c r="G21" s="52" t="str">
        <f t="array" ref="G21">IF($A21="","",IF(SUMPRODUCT(('J1 - 18 sept'!G$4:G$33=$A21)*1)=0,"",IF(SUMPRODUCT(('J1 - 18 sept'!G$4:G$33=$A21)*1)=1,INDEX('J1 - 18 sept'!$P$4:$P$33,MATCH($A21,'J1 - 18 sept'!G$4:G$33,0)),"⚠ CONFLIT")))</f>
        <v/>
      </c>
      <c r="H21" s="52" t="str">
        <f t="array" ref="H21">IF($A21="","",IF(SUMPRODUCT(('J1 - 18 sept'!H$4:H$33=$A21)*1)=0,"",IF(SUMPRODUCT(('J1 - 18 sept'!H$4:H$33=$A21)*1)=1,INDEX('J1 - 18 sept'!$P$4:$P$33,MATCH($A21,'J1 - 18 sept'!H$4:H$33,0)),"⚠ CONFLIT")))</f>
        <v/>
      </c>
      <c r="I21" s="52" t="str">
        <f t="array" ref="I21">IF($A21="","",IF(SUMPRODUCT(('J1 - 18 sept'!I$4:I$33=$A21)*1)=0,"",IF(SUMPRODUCT(('J1 - 18 sept'!I$4:I$33=$A21)*1)=1,INDEX('J1 - 18 sept'!$P$4:$P$33,MATCH($A21,'J1 - 18 sept'!I$4:I$33,0)),"⚠ CONFLIT")))</f>
        <v/>
      </c>
      <c r="J21" s="52" t="str">
        <f t="array" ref="J21">IF($A21="","",IF(SUMPRODUCT(('J1 - 18 sept'!J$4:J$33=$A21)*1)=0,"",IF(SUMPRODUCT(('J1 - 18 sept'!J$4:J$33=$A21)*1)=1,INDEX('J1 - 18 sept'!$P$4:$P$33,MATCH($A21,'J1 - 18 sept'!J$4:J$33,0)),"⚠ CONFLIT")))</f>
        <v/>
      </c>
      <c r="K21" s="52" t="str">
        <f t="array" ref="K21">IF($A21="","",IF(SUMPRODUCT(('J1 - 18 sept'!K$4:K$33=$A21)*1)=0,"",IF(SUMPRODUCT(('J1 - 18 sept'!K$4:K$33=$A21)*1)=1,INDEX('J1 - 18 sept'!$P$4:$P$33,MATCH($A21,'J1 - 18 sept'!K$4:K$33,0)),"⚠ CONFLIT")))</f>
        <v/>
      </c>
      <c r="L21" s="52" t="str">
        <f t="array" ref="L21">IF($A21="","",IF(SUMPRODUCT(('J1 - 18 sept'!L$4:L$33=$A21)*1)=0,"",IF(SUMPRODUCT(('J1 - 18 sept'!L$4:L$33=$A21)*1)=1,INDEX('J1 - 18 sept'!$P$4:$P$33,MATCH($A21,'J1 - 18 sept'!L$4:L$33,0)),"⚠ CONFLIT")))</f>
        <v/>
      </c>
      <c r="M21" s="52" t="str">
        <f t="array" ref="M21">IF($A21="","",IF(SUMPRODUCT(('J1 - 18 sept'!M$4:M$33=$A21)*1)=0,"",IF(SUMPRODUCT(('J1 - 18 sept'!M$4:M$33=$A21)*1)=1,INDEX('J1 - 18 sept'!$P$4:$P$33,MATCH($A21,'J1 - 18 sept'!M$4:M$33,0)),"⚠ CONFLIT")))</f>
        <v/>
      </c>
      <c r="N21" s="52" t="str">
        <f t="array" ref="N21">IF($A21="","",IF(SUMPRODUCT(('J1 - 18 sept'!N$4:N$33=$A21)*1)=0,"",IF(SUMPRODUCT(('J1 - 18 sept'!N$4:N$33=$A21)*1)=1,INDEX('J1 - 18 sept'!$P$4:$P$33,MATCH($A21,'J1 - 18 sept'!N$4:N$33,0)),"⚠ CONFLIT")))</f>
        <v/>
      </c>
      <c r="P21" s="52" t="str">
        <f t="array" ref="P21">IF($A21="","",IF(SUMPRODUCT(('J2 - 19 sept'!C$4:C$33=$A21)*1)=0,"",IF(SUMPRODUCT(('J2 - 19 sept'!C$4:C$33=$A21)*1)=1,INDEX('J2 - 19 sept'!$P$4:$P$33,MATCH($A21,'J2 - 19 sept'!C$4:C$33,0)),"⚠ CONFLIT")))</f>
        <v/>
      </c>
      <c r="Q21" s="52" t="str">
        <f t="array" ref="Q21">IF($A21="","",IF(SUMPRODUCT(('J2 - 19 sept'!D$4:D$33=$A21)*1)=0,"",IF(SUMPRODUCT(('J2 - 19 sept'!D$4:D$33=$A21)*1)=1,INDEX('J2 - 19 sept'!$P$4:$P$33,MATCH($A21,'J2 - 19 sept'!D$4:D$33,0)),"⚠ CONFLIT")))</f>
        <v/>
      </c>
      <c r="R21" s="52" t="str">
        <f t="array" ref="R21">IF($A21="","",IF(SUMPRODUCT(('J2 - 19 sept'!E$4:E$33=$A21)*1)=0,"",IF(SUMPRODUCT(('J2 - 19 sept'!E$4:E$33=$A21)*1)=1,INDEX('J2 - 19 sept'!$P$4:$P$33,MATCH($A21,'J2 - 19 sept'!E$4:E$33,0)),"⚠ CONFLIT")))</f>
        <v/>
      </c>
      <c r="S21" s="52" t="str">
        <f t="array" ref="S21">IF($A21="","",IF(SUMPRODUCT(('J2 - 19 sept'!F$4:F$33=$A21)*1)=0,"",IF(SUMPRODUCT(('J2 - 19 sept'!F$4:F$33=$A21)*1)=1,INDEX('J2 - 19 sept'!$P$4:$P$33,MATCH($A21,'J2 - 19 sept'!F$4:F$33,0)),"⚠ CONFLIT")))</f>
        <v/>
      </c>
      <c r="T21" s="52" t="str">
        <f t="array" ref="T21">IF($A21="","",IF(SUMPRODUCT(('J2 - 19 sept'!G$4:G$33=$A21)*1)=0,"",IF(SUMPRODUCT(('J2 - 19 sept'!G$4:G$33=$A21)*1)=1,INDEX('J2 - 19 sept'!$P$4:$P$33,MATCH($A21,'J2 - 19 sept'!G$4:G$33,0)),"⚠ CONFLIT")))</f>
        <v/>
      </c>
      <c r="U21" s="52" t="str">
        <f t="array" ref="U21">IF($A21="","",IF(SUMPRODUCT(('J2 - 19 sept'!H$4:H$33=$A21)*1)=0,"",IF(SUMPRODUCT(('J2 - 19 sept'!H$4:H$33=$A21)*1)=1,INDEX('J2 - 19 sept'!$P$4:$P$33,MATCH($A21,'J2 - 19 sept'!H$4:H$33,0)),"⚠ CONFLIT")))</f>
        <v/>
      </c>
      <c r="V21" s="52" t="str">
        <f t="array" ref="V21">IF($A21="","",IF(SUMPRODUCT(('J2 - 19 sept'!I$4:I$33=$A21)*1)=0,"",IF(SUMPRODUCT(('J2 - 19 sept'!I$4:I$33=$A21)*1)=1,INDEX('J2 - 19 sept'!$P$4:$P$33,MATCH($A21,'J2 - 19 sept'!I$4:I$33,0)),"⚠ CONFLIT")))</f>
        <v/>
      </c>
      <c r="W21" s="52" t="str">
        <f t="array" ref="W21">IF($A21="","",IF(SUMPRODUCT(('J2 - 19 sept'!J$4:J$33=$A21)*1)=0,"",IF(SUMPRODUCT(('J2 - 19 sept'!J$4:J$33=$A21)*1)=1,INDEX('J2 - 19 sept'!$P$4:$P$33,MATCH($A21,'J2 - 19 sept'!J$4:J$33,0)),"⚠ CONFLIT")))</f>
        <v/>
      </c>
      <c r="X21" s="52" t="str">
        <f t="array" ref="X21">IF($A21="","",IF(SUMPRODUCT(('J2 - 19 sept'!K$4:K$33=$A21)*1)=0,"",IF(SUMPRODUCT(('J2 - 19 sept'!K$4:K$33=$A21)*1)=1,INDEX('J2 - 19 sept'!$P$4:$P$33,MATCH($A21,'J2 - 19 sept'!K$4:K$33,0)),"⚠ CONFLIT")))</f>
        <v/>
      </c>
      <c r="Y21" s="52" t="str">
        <f t="array" ref="Y21">IF($A21="","",IF(SUMPRODUCT(('J2 - 19 sept'!L$4:L$33=$A21)*1)=0,"",IF(SUMPRODUCT(('J2 - 19 sept'!L$4:L$33=$A21)*1)=1,INDEX('J2 - 19 sept'!$P$4:$P$33,MATCH($A21,'J2 - 19 sept'!L$4:L$33,0)),"⚠ CONFLIT")))</f>
        <v/>
      </c>
      <c r="Z21" s="52" t="str">
        <f t="array" ref="Z21">IF($A21="","",IF(SUMPRODUCT(('J2 - 19 sept'!M$4:M$33=$A21)*1)=0,"",IF(SUMPRODUCT(('J2 - 19 sept'!M$4:M$33=$A21)*1)=1,INDEX('J2 - 19 sept'!$P$4:$P$33,MATCH($A21,'J2 - 19 sept'!M$4:M$33,0)),"⚠ CONFLIT")))</f>
        <v/>
      </c>
      <c r="AA21" s="52" t="str">
        <f t="array" ref="AA21">IF($A21="","",IF(SUMPRODUCT(('J2 - 19 sept'!N$4:N$33=$A21)*1)=0,"",IF(SUMPRODUCT(('J2 - 19 sept'!N$4:N$33=$A21)*1)=1,INDEX('J2 - 19 sept'!$P$4:$P$33,MATCH($A21,'J2 - 19 sept'!N$4:N$33,0)),"⚠ CONFLIT")))</f>
        <v/>
      </c>
    </row>
    <row r="22" ht="15.75" customHeight="1">
      <c r="A22" s="50" t="str">
        <f>IF('Paramètres'!$B$32="","",'Paramètres'!$B$32)</f>
        <v>Nathan</v>
      </c>
      <c r="B22" s="51" t="str">
        <f>IF('Paramètres'!$C$32="","",'Paramètres'!$C$32)</f>
        <v/>
      </c>
      <c r="C22" s="52" t="str">
        <f t="array" ref="C22">IF($A22="","",IF(SUMPRODUCT(('J1 - 18 sept'!C$4:C$33=$A22)*1)=0,"",IF(SUMPRODUCT(('J1 - 18 sept'!C$4:C$33=$A22)*1)=1,INDEX('J1 - 18 sept'!$P$4:$P$33,MATCH($A22,'J1 - 18 sept'!C$4:C$33,0)),"⚠ CONFLIT")))</f>
        <v/>
      </c>
      <c r="D22" s="52" t="str">
        <f t="array" ref="D22">IF($A22="","",IF(SUMPRODUCT(('J1 - 18 sept'!D$4:D$33=$A22)*1)=0,"",IF(SUMPRODUCT(('J1 - 18 sept'!D$4:D$33=$A22)*1)=1,INDEX('J1 - 18 sept'!$P$4:$P$33,MATCH($A22,'J1 - 18 sept'!D$4:D$33,0)),"⚠ CONFLIT")))</f>
        <v/>
      </c>
      <c r="E22" s="52" t="str">
        <f t="array" ref="E22">IF($A22="","",IF(SUMPRODUCT(('J1 - 18 sept'!E$4:E$33=$A22)*1)=0,"",IF(SUMPRODUCT(('J1 - 18 sept'!E$4:E$33=$A22)*1)=1,INDEX('J1 - 18 sept'!$P$4:$P$33,MATCH($A22,'J1 - 18 sept'!E$4:E$33,0)),"⚠ CONFLIT")))</f>
        <v/>
      </c>
      <c r="F22" s="52" t="str">
        <f t="array" ref="F22">IF($A22="","",IF(SUMPRODUCT(('J1 - 18 sept'!F$4:F$33=$A22)*1)=0,"",IF(SUMPRODUCT(('J1 - 18 sept'!F$4:F$33=$A22)*1)=1,INDEX('J1 - 18 sept'!$P$4:$P$33,MATCH($A22,'J1 - 18 sept'!F$4:F$33,0)),"⚠ CONFLIT")))</f>
        <v/>
      </c>
      <c r="G22" s="52" t="str">
        <f t="array" ref="G22">IF($A22="","",IF(SUMPRODUCT(('J1 - 18 sept'!G$4:G$33=$A22)*1)=0,"",IF(SUMPRODUCT(('J1 - 18 sept'!G$4:G$33=$A22)*1)=1,INDEX('J1 - 18 sept'!$P$4:$P$33,MATCH($A22,'J1 - 18 sept'!G$4:G$33,0)),"⚠ CONFLIT")))</f>
        <v/>
      </c>
      <c r="H22" s="52" t="str">
        <f t="array" ref="H22">IF($A22="","",IF(SUMPRODUCT(('J1 - 18 sept'!H$4:H$33=$A22)*1)=0,"",IF(SUMPRODUCT(('J1 - 18 sept'!H$4:H$33=$A22)*1)=1,INDEX('J1 - 18 sept'!$P$4:$P$33,MATCH($A22,'J1 - 18 sept'!H$4:H$33,0)),"⚠ CONFLIT")))</f>
        <v/>
      </c>
      <c r="I22" s="52" t="str">
        <f t="array" ref="I22">IF($A22="","",IF(SUMPRODUCT(('J1 - 18 sept'!I$4:I$33=$A22)*1)=0,"",IF(SUMPRODUCT(('J1 - 18 sept'!I$4:I$33=$A22)*1)=1,INDEX('J1 - 18 sept'!$P$4:$P$33,MATCH($A22,'J1 - 18 sept'!I$4:I$33,0)),"⚠ CONFLIT")))</f>
        <v/>
      </c>
      <c r="J22" s="52" t="str">
        <f t="array" ref="J22">IF($A22="","",IF(SUMPRODUCT(('J1 - 18 sept'!J$4:J$33=$A22)*1)=0,"",IF(SUMPRODUCT(('J1 - 18 sept'!J$4:J$33=$A22)*1)=1,INDEX('J1 - 18 sept'!$P$4:$P$33,MATCH($A22,'J1 - 18 sept'!J$4:J$33,0)),"⚠ CONFLIT")))</f>
        <v/>
      </c>
      <c r="K22" s="52" t="str">
        <f t="array" ref="K22">IF($A22="","",IF(SUMPRODUCT(('J1 - 18 sept'!K$4:K$33=$A22)*1)=0,"",IF(SUMPRODUCT(('J1 - 18 sept'!K$4:K$33=$A22)*1)=1,INDEX('J1 - 18 sept'!$P$4:$P$33,MATCH($A22,'J1 - 18 sept'!K$4:K$33,0)),"⚠ CONFLIT")))</f>
        <v/>
      </c>
      <c r="L22" s="52" t="str">
        <f t="array" ref="L22">IF($A22="","",IF(SUMPRODUCT(('J1 - 18 sept'!L$4:L$33=$A22)*1)=0,"",IF(SUMPRODUCT(('J1 - 18 sept'!L$4:L$33=$A22)*1)=1,INDEX('J1 - 18 sept'!$P$4:$P$33,MATCH($A22,'J1 - 18 sept'!L$4:L$33,0)),"⚠ CONFLIT")))</f>
        <v/>
      </c>
      <c r="M22" s="52" t="str">
        <f t="array" ref="M22">IF($A22="","",IF(SUMPRODUCT(('J1 - 18 sept'!M$4:M$33=$A22)*1)=0,"",IF(SUMPRODUCT(('J1 - 18 sept'!M$4:M$33=$A22)*1)=1,INDEX('J1 - 18 sept'!$P$4:$P$33,MATCH($A22,'J1 - 18 sept'!M$4:M$33,0)),"⚠ CONFLIT")))</f>
        <v/>
      </c>
      <c r="N22" s="52" t="str">
        <f t="array" ref="N22">IF($A22="","",IF(SUMPRODUCT(('J1 - 18 sept'!N$4:N$33=$A22)*1)=0,"",IF(SUMPRODUCT(('J1 - 18 sept'!N$4:N$33=$A22)*1)=1,INDEX('J1 - 18 sept'!$P$4:$P$33,MATCH($A22,'J1 - 18 sept'!N$4:N$33,0)),"⚠ CONFLIT")))</f>
        <v/>
      </c>
      <c r="P22" s="52" t="str">
        <f t="array" ref="P22">IF($A22="","",IF(SUMPRODUCT(('J2 - 19 sept'!C$4:C$33=$A22)*1)=0,"",IF(SUMPRODUCT(('J2 - 19 sept'!C$4:C$33=$A22)*1)=1,INDEX('J2 - 19 sept'!$P$4:$P$33,MATCH($A22,'J2 - 19 sept'!C$4:C$33,0)),"⚠ CONFLIT")))</f>
        <v/>
      </c>
      <c r="Q22" s="52" t="str">
        <f t="array" ref="Q22">IF($A22="","",IF(SUMPRODUCT(('J2 - 19 sept'!D$4:D$33=$A22)*1)=0,"",IF(SUMPRODUCT(('J2 - 19 sept'!D$4:D$33=$A22)*1)=1,INDEX('J2 - 19 sept'!$P$4:$P$33,MATCH($A22,'J2 - 19 sept'!D$4:D$33,0)),"⚠ CONFLIT")))</f>
        <v/>
      </c>
      <c r="R22" s="52" t="str">
        <f t="array" ref="R22">IF($A22="","",IF(SUMPRODUCT(('J2 - 19 sept'!E$4:E$33=$A22)*1)=0,"",IF(SUMPRODUCT(('J2 - 19 sept'!E$4:E$33=$A22)*1)=1,INDEX('J2 - 19 sept'!$P$4:$P$33,MATCH($A22,'J2 - 19 sept'!E$4:E$33,0)),"⚠ CONFLIT")))</f>
        <v/>
      </c>
      <c r="S22" s="52" t="str">
        <f t="array" ref="S22">IF($A22="","",IF(SUMPRODUCT(('J2 - 19 sept'!F$4:F$33=$A22)*1)=0,"",IF(SUMPRODUCT(('J2 - 19 sept'!F$4:F$33=$A22)*1)=1,INDEX('J2 - 19 sept'!$P$4:$P$33,MATCH($A22,'J2 - 19 sept'!F$4:F$33,0)),"⚠ CONFLIT")))</f>
        <v/>
      </c>
      <c r="T22" s="52" t="str">
        <f t="array" ref="T22">IF($A22="","",IF(SUMPRODUCT(('J2 - 19 sept'!G$4:G$33=$A22)*1)=0,"",IF(SUMPRODUCT(('J2 - 19 sept'!G$4:G$33=$A22)*1)=1,INDEX('J2 - 19 sept'!$P$4:$P$33,MATCH($A22,'J2 - 19 sept'!G$4:G$33,0)),"⚠ CONFLIT")))</f>
        <v/>
      </c>
      <c r="U22" s="52" t="str">
        <f t="array" ref="U22">IF($A22="","",IF(SUMPRODUCT(('J2 - 19 sept'!H$4:H$33=$A22)*1)=0,"",IF(SUMPRODUCT(('J2 - 19 sept'!H$4:H$33=$A22)*1)=1,INDEX('J2 - 19 sept'!$P$4:$P$33,MATCH($A22,'J2 - 19 sept'!H$4:H$33,0)),"⚠ CONFLIT")))</f>
        <v/>
      </c>
      <c r="V22" s="52" t="str">
        <f t="array" ref="V22">IF($A22="","",IF(SUMPRODUCT(('J2 - 19 sept'!I$4:I$33=$A22)*1)=0,"",IF(SUMPRODUCT(('J2 - 19 sept'!I$4:I$33=$A22)*1)=1,INDEX('J2 - 19 sept'!$P$4:$P$33,MATCH($A22,'J2 - 19 sept'!I$4:I$33,0)),"⚠ CONFLIT")))</f>
        <v/>
      </c>
      <c r="W22" s="52" t="str">
        <f t="array" ref="W22">IF($A22="","",IF(SUMPRODUCT(('J2 - 19 sept'!J$4:J$33=$A22)*1)=0,"",IF(SUMPRODUCT(('J2 - 19 sept'!J$4:J$33=$A22)*1)=1,INDEX('J2 - 19 sept'!$P$4:$P$33,MATCH($A22,'J2 - 19 sept'!J$4:J$33,0)),"⚠ CONFLIT")))</f>
        <v/>
      </c>
      <c r="X22" s="52" t="str">
        <f t="array" ref="X22">IF($A22="","",IF(SUMPRODUCT(('J2 - 19 sept'!K$4:K$33=$A22)*1)=0,"",IF(SUMPRODUCT(('J2 - 19 sept'!K$4:K$33=$A22)*1)=1,INDEX('J2 - 19 sept'!$P$4:$P$33,MATCH($A22,'J2 - 19 sept'!K$4:K$33,0)),"⚠ CONFLIT")))</f>
        <v/>
      </c>
      <c r="Y22" s="52" t="str">
        <f t="array" ref="Y22">IF($A22="","",IF(SUMPRODUCT(('J2 - 19 sept'!L$4:L$33=$A22)*1)=0,"",IF(SUMPRODUCT(('J2 - 19 sept'!L$4:L$33=$A22)*1)=1,INDEX('J2 - 19 sept'!$P$4:$P$33,MATCH($A22,'J2 - 19 sept'!L$4:L$33,0)),"⚠ CONFLIT")))</f>
        <v/>
      </c>
      <c r="Z22" s="52" t="str">
        <f t="array" ref="Z22">IF($A22="","",IF(SUMPRODUCT(('J2 - 19 sept'!M$4:M$33=$A22)*1)=0,"",IF(SUMPRODUCT(('J2 - 19 sept'!M$4:M$33=$A22)*1)=1,INDEX('J2 - 19 sept'!$P$4:$P$33,MATCH($A22,'J2 - 19 sept'!M$4:M$33,0)),"⚠ CONFLIT")))</f>
        <v/>
      </c>
      <c r="AA22" s="52" t="str">
        <f t="array" ref="AA22">IF($A22="","",IF(SUMPRODUCT(('J2 - 19 sept'!N$4:N$33=$A22)*1)=0,"",IF(SUMPRODUCT(('J2 - 19 sept'!N$4:N$33=$A22)*1)=1,INDEX('J2 - 19 sept'!$P$4:$P$33,MATCH($A22,'J2 - 19 sept'!N$4:N$33,0)),"⚠ CONFLIT")))</f>
        <v/>
      </c>
    </row>
    <row r="23" ht="15.75" customHeight="1">
      <c r="A23" s="50" t="str">
        <f>IF('Paramètres'!$B$33="","",'Paramètres'!$B$33)</f>
        <v>Samuel</v>
      </c>
      <c r="B23" s="51" t="str">
        <f>IF('Paramètres'!$C$33="","",'Paramètres'!$C$33)</f>
        <v/>
      </c>
      <c r="C23" s="52" t="str">
        <f t="array" ref="C23">IF($A23="","",IF(SUMPRODUCT(('J1 - 18 sept'!C$4:C$33=$A23)*1)=0,"",IF(SUMPRODUCT(('J1 - 18 sept'!C$4:C$33=$A23)*1)=1,INDEX('J1 - 18 sept'!$P$4:$P$33,MATCH($A23,'J1 - 18 sept'!C$4:C$33,0)),"⚠ CONFLIT")))</f>
        <v/>
      </c>
      <c r="D23" s="52" t="str">
        <f t="array" ref="D23">IF($A23="","",IF(SUMPRODUCT(('J1 - 18 sept'!D$4:D$33=$A23)*1)=0,"",IF(SUMPRODUCT(('J1 - 18 sept'!D$4:D$33=$A23)*1)=1,INDEX('J1 - 18 sept'!$P$4:$P$33,MATCH($A23,'J1 - 18 sept'!D$4:D$33,0)),"⚠ CONFLIT")))</f>
        <v/>
      </c>
      <c r="E23" s="52" t="str">
        <f t="array" ref="E23">IF($A23="","",IF(SUMPRODUCT(('J1 - 18 sept'!E$4:E$33=$A23)*1)=0,"",IF(SUMPRODUCT(('J1 - 18 sept'!E$4:E$33=$A23)*1)=1,INDEX('J1 - 18 sept'!$P$4:$P$33,MATCH($A23,'J1 - 18 sept'!E$4:E$33,0)),"⚠ CONFLIT")))</f>
        <v/>
      </c>
      <c r="F23" s="52" t="str">
        <f t="array" ref="F23">IF($A23="","",IF(SUMPRODUCT(('J1 - 18 sept'!F$4:F$33=$A23)*1)=0,"",IF(SUMPRODUCT(('J1 - 18 sept'!F$4:F$33=$A23)*1)=1,INDEX('J1 - 18 sept'!$P$4:$P$33,MATCH($A23,'J1 - 18 sept'!F$4:F$33,0)),"⚠ CONFLIT")))</f>
        <v/>
      </c>
      <c r="G23" s="52" t="str">
        <f t="array" ref="G23">IF($A23="","",IF(SUMPRODUCT(('J1 - 18 sept'!G$4:G$33=$A23)*1)=0,"",IF(SUMPRODUCT(('J1 - 18 sept'!G$4:G$33=$A23)*1)=1,INDEX('J1 - 18 sept'!$P$4:$P$33,MATCH($A23,'J1 - 18 sept'!G$4:G$33,0)),"⚠ CONFLIT")))</f>
        <v/>
      </c>
      <c r="H23" s="52" t="str">
        <f t="array" ref="H23">IF($A23="","",IF(SUMPRODUCT(('J1 - 18 sept'!H$4:H$33=$A23)*1)=0,"",IF(SUMPRODUCT(('J1 - 18 sept'!H$4:H$33=$A23)*1)=1,INDEX('J1 - 18 sept'!$P$4:$P$33,MATCH($A23,'J1 - 18 sept'!H$4:H$33,0)),"⚠ CONFLIT")))</f>
        <v/>
      </c>
      <c r="I23" s="52" t="str">
        <f t="array" ref="I23">IF($A23="","",IF(SUMPRODUCT(('J1 - 18 sept'!I$4:I$33=$A23)*1)=0,"",IF(SUMPRODUCT(('J1 - 18 sept'!I$4:I$33=$A23)*1)=1,INDEX('J1 - 18 sept'!$P$4:$P$33,MATCH($A23,'J1 - 18 sept'!I$4:I$33,0)),"⚠ CONFLIT")))</f>
        <v/>
      </c>
      <c r="J23" s="52" t="str">
        <f t="array" ref="J23">IF($A23="","",IF(SUMPRODUCT(('J1 - 18 sept'!J$4:J$33=$A23)*1)=0,"",IF(SUMPRODUCT(('J1 - 18 sept'!J$4:J$33=$A23)*1)=1,INDEX('J1 - 18 sept'!$P$4:$P$33,MATCH($A23,'J1 - 18 sept'!J$4:J$33,0)),"⚠ CONFLIT")))</f>
        <v/>
      </c>
      <c r="K23" s="52" t="str">
        <f t="array" ref="K23">IF($A23="","",IF(SUMPRODUCT(('J1 - 18 sept'!K$4:K$33=$A23)*1)=0,"",IF(SUMPRODUCT(('J1 - 18 sept'!K$4:K$33=$A23)*1)=1,INDEX('J1 - 18 sept'!$P$4:$P$33,MATCH($A23,'J1 - 18 sept'!K$4:K$33,0)),"⚠ CONFLIT")))</f>
        <v/>
      </c>
      <c r="L23" s="52" t="str">
        <f t="array" ref="L23">IF($A23="","",IF(SUMPRODUCT(('J1 - 18 sept'!L$4:L$33=$A23)*1)=0,"",IF(SUMPRODUCT(('J1 - 18 sept'!L$4:L$33=$A23)*1)=1,INDEX('J1 - 18 sept'!$P$4:$P$33,MATCH($A23,'J1 - 18 sept'!L$4:L$33,0)),"⚠ CONFLIT")))</f>
        <v/>
      </c>
      <c r="M23" s="52" t="str">
        <f t="array" ref="M23">IF($A23="","",IF(SUMPRODUCT(('J1 - 18 sept'!M$4:M$33=$A23)*1)=0,"",IF(SUMPRODUCT(('J1 - 18 sept'!M$4:M$33=$A23)*1)=1,INDEX('J1 - 18 sept'!$P$4:$P$33,MATCH($A23,'J1 - 18 sept'!M$4:M$33,0)),"⚠ CONFLIT")))</f>
        <v/>
      </c>
      <c r="N23" s="52" t="str">
        <f t="array" ref="N23">IF($A23="","",IF(SUMPRODUCT(('J1 - 18 sept'!N$4:N$33=$A23)*1)=0,"",IF(SUMPRODUCT(('J1 - 18 sept'!N$4:N$33=$A23)*1)=1,INDEX('J1 - 18 sept'!$P$4:$P$33,MATCH($A23,'J1 - 18 sept'!N$4:N$33,0)),"⚠ CONFLIT")))</f>
        <v/>
      </c>
      <c r="P23" s="52" t="str">
        <f t="array" ref="P23">IF($A23="","",IF(SUMPRODUCT(('J2 - 19 sept'!C$4:C$33=$A23)*1)=0,"",IF(SUMPRODUCT(('J2 - 19 sept'!C$4:C$33=$A23)*1)=1,INDEX('J2 - 19 sept'!$P$4:$P$33,MATCH($A23,'J2 - 19 sept'!C$4:C$33,0)),"⚠ CONFLIT")))</f>
        <v/>
      </c>
      <c r="Q23" s="52" t="str">
        <f t="array" ref="Q23">IF($A23="","",IF(SUMPRODUCT(('J2 - 19 sept'!D$4:D$33=$A23)*1)=0,"",IF(SUMPRODUCT(('J2 - 19 sept'!D$4:D$33=$A23)*1)=1,INDEX('J2 - 19 sept'!$P$4:$P$33,MATCH($A23,'J2 - 19 sept'!D$4:D$33,0)),"⚠ CONFLIT")))</f>
        <v/>
      </c>
      <c r="R23" s="52" t="str">
        <f t="array" ref="R23">IF($A23="","",IF(SUMPRODUCT(('J2 - 19 sept'!E$4:E$33=$A23)*1)=0,"",IF(SUMPRODUCT(('J2 - 19 sept'!E$4:E$33=$A23)*1)=1,INDEX('J2 - 19 sept'!$P$4:$P$33,MATCH($A23,'J2 - 19 sept'!E$4:E$33,0)),"⚠ CONFLIT")))</f>
        <v/>
      </c>
      <c r="S23" s="52" t="str">
        <f t="array" ref="S23">IF($A23="","",IF(SUMPRODUCT(('J2 - 19 sept'!F$4:F$33=$A23)*1)=0,"",IF(SUMPRODUCT(('J2 - 19 sept'!F$4:F$33=$A23)*1)=1,INDEX('J2 - 19 sept'!$P$4:$P$33,MATCH($A23,'J2 - 19 sept'!F$4:F$33,0)),"⚠ CONFLIT")))</f>
        <v/>
      </c>
      <c r="T23" s="52" t="str">
        <f t="array" ref="T23">IF($A23="","",IF(SUMPRODUCT(('J2 - 19 sept'!G$4:G$33=$A23)*1)=0,"",IF(SUMPRODUCT(('J2 - 19 sept'!G$4:G$33=$A23)*1)=1,INDEX('J2 - 19 sept'!$P$4:$P$33,MATCH($A23,'J2 - 19 sept'!G$4:G$33,0)),"⚠ CONFLIT")))</f>
        <v/>
      </c>
      <c r="U23" s="52" t="str">
        <f t="array" ref="U23">IF($A23="","",IF(SUMPRODUCT(('J2 - 19 sept'!H$4:H$33=$A23)*1)=0,"",IF(SUMPRODUCT(('J2 - 19 sept'!H$4:H$33=$A23)*1)=1,INDEX('J2 - 19 sept'!$P$4:$P$33,MATCH($A23,'J2 - 19 sept'!H$4:H$33,0)),"⚠ CONFLIT")))</f>
        <v/>
      </c>
      <c r="V23" s="52" t="str">
        <f t="array" ref="V23">IF($A23="","",IF(SUMPRODUCT(('J2 - 19 sept'!I$4:I$33=$A23)*1)=0,"",IF(SUMPRODUCT(('J2 - 19 sept'!I$4:I$33=$A23)*1)=1,INDEX('J2 - 19 sept'!$P$4:$P$33,MATCH($A23,'J2 - 19 sept'!I$4:I$33,0)),"⚠ CONFLIT")))</f>
        <v/>
      </c>
      <c r="W23" s="52" t="str">
        <f t="array" ref="W23">IF($A23="","",IF(SUMPRODUCT(('J2 - 19 sept'!J$4:J$33=$A23)*1)=0,"",IF(SUMPRODUCT(('J2 - 19 sept'!J$4:J$33=$A23)*1)=1,INDEX('J2 - 19 sept'!$P$4:$P$33,MATCH($A23,'J2 - 19 sept'!J$4:J$33,0)),"⚠ CONFLIT")))</f>
        <v/>
      </c>
      <c r="X23" s="52" t="str">
        <f t="array" ref="X23">IF($A23="","",IF(SUMPRODUCT(('J2 - 19 sept'!K$4:K$33=$A23)*1)=0,"",IF(SUMPRODUCT(('J2 - 19 sept'!K$4:K$33=$A23)*1)=1,INDEX('J2 - 19 sept'!$P$4:$P$33,MATCH($A23,'J2 - 19 sept'!K$4:K$33,0)),"⚠ CONFLIT")))</f>
        <v/>
      </c>
      <c r="Y23" s="52" t="str">
        <f t="array" ref="Y23">IF($A23="","",IF(SUMPRODUCT(('J2 - 19 sept'!L$4:L$33=$A23)*1)=0,"",IF(SUMPRODUCT(('J2 - 19 sept'!L$4:L$33=$A23)*1)=1,INDEX('J2 - 19 sept'!$P$4:$P$33,MATCH($A23,'J2 - 19 sept'!L$4:L$33,0)),"⚠ CONFLIT")))</f>
        <v/>
      </c>
      <c r="Z23" s="52" t="str">
        <f t="array" ref="Z23">IF($A23="","",IF(SUMPRODUCT(('J2 - 19 sept'!M$4:M$33=$A23)*1)=0,"",IF(SUMPRODUCT(('J2 - 19 sept'!M$4:M$33=$A23)*1)=1,INDEX('J2 - 19 sept'!$P$4:$P$33,MATCH($A23,'J2 - 19 sept'!M$4:M$33,0)),"⚠ CONFLIT")))</f>
        <v/>
      </c>
      <c r="AA23" s="52" t="str">
        <f t="array" ref="AA23">IF($A23="","",IF(SUMPRODUCT(('J2 - 19 sept'!N$4:N$33=$A23)*1)=0,"",IF(SUMPRODUCT(('J2 - 19 sept'!N$4:N$33=$A23)*1)=1,INDEX('J2 - 19 sept'!$P$4:$P$33,MATCH($A23,'J2 - 19 sept'!N$4:N$33,0)),"⚠ CONFLIT")))</f>
        <v/>
      </c>
    </row>
    <row r="24" ht="15.75" customHeight="1">
      <c r="A24" s="50" t="str">
        <f>IF('Paramètres'!$B$34="","",'Paramètres'!$B$34)</f>
        <v>Teddy</v>
      </c>
      <c r="B24" s="51" t="str">
        <f>IF('Paramètres'!$C$34="","",'Paramètres'!$C$34)</f>
        <v/>
      </c>
      <c r="C24" s="52" t="str">
        <f t="array" ref="C24">IF($A24="","",IF(SUMPRODUCT(('J1 - 18 sept'!C$4:C$33=$A24)*1)=0,"",IF(SUMPRODUCT(('J1 - 18 sept'!C$4:C$33=$A24)*1)=1,INDEX('J1 - 18 sept'!$P$4:$P$33,MATCH($A24,'J1 - 18 sept'!C$4:C$33,0)),"⚠ CONFLIT")))</f>
        <v/>
      </c>
      <c r="D24" s="52" t="str">
        <f t="array" ref="D24">IF($A24="","",IF(SUMPRODUCT(('J1 - 18 sept'!D$4:D$33=$A24)*1)=0,"",IF(SUMPRODUCT(('J1 - 18 sept'!D$4:D$33=$A24)*1)=1,INDEX('J1 - 18 sept'!$P$4:$P$33,MATCH($A24,'J1 - 18 sept'!D$4:D$33,0)),"⚠ CONFLIT")))</f>
        <v/>
      </c>
      <c r="E24" s="52" t="str">
        <f t="array" ref="E24">IF($A24="","",IF(SUMPRODUCT(('J1 - 18 sept'!E$4:E$33=$A24)*1)=0,"",IF(SUMPRODUCT(('J1 - 18 sept'!E$4:E$33=$A24)*1)=1,INDEX('J1 - 18 sept'!$P$4:$P$33,MATCH($A24,'J1 - 18 sept'!E$4:E$33,0)),"⚠ CONFLIT")))</f>
        <v/>
      </c>
      <c r="F24" s="52" t="str">
        <f t="array" ref="F24">IF($A24="","",IF(SUMPRODUCT(('J1 - 18 sept'!F$4:F$33=$A24)*1)=0,"",IF(SUMPRODUCT(('J1 - 18 sept'!F$4:F$33=$A24)*1)=1,INDEX('J1 - 18 sept'!$P$4:$P$33,MATCH($A24,'J1 - 18 sept'!F$4:F$33,0)),"⚠ CONFLIT")))</f>
        <v/>
      </c>
      <c r="G24" s="52" t="str">
        <f t="array" ref="G24">IF($A24="","",IF(SUMPRODUCT(('J1 - 18 sept'!G$4:G$33=$A24)*1)=0,"",IF(SUMPRODUCT(('J1 - 18 sept'!G$4:G$33=$A24)*1)=1,INDEX('J1 - 18 sept'!$P$4:$P$33,MATCH($A24,'J1 - 18 sept'!G$4:G$33,0)),"⚠ CONFLIT")))</f>
        <v/>
      </c>
      <c r="H24" s="52" t="str">
        <f t="array" ref="H24">IF($A24="","",IF(SUMPRODUCT(('J1 - 18 sept'!H$4:H$33=$A24)*1)=0,"",IF(SUMPRODUCT(('J1 - 18 sept'!H$4:H$33=$A24)*1)=1,INDEX('J1 - 18 sept'!$P$4:$P$33,MATCH($A24,'J1 - 18 sept'!H$4:H$33,0)),"⚠ CONFLIT")))</f>
        <v/>
      </c>
      <c r="I24" s="52" t="str">
        <f t="array" ref="I24">IF($A24="","",IF(SUMPRODUCT(('J1 - 18 sept'!I$4:I$33=$A24)*1)=0,"",IF(SUMPRODUCT(('J1 - 18 sept'!I$4:I$33=$A24)*1)=1,INDEX('J1 - 18 sept'!$P$4:$P$33,MATCH($A24,'J1 - 18 sept'!I$4:I$33,0)),"⚠ CONFLIT")))</f>
        <v/>
      </c>
      <c r="J24" s="52" t="str">
        <f t="array" ref="J24">IF($A24="","",IF(SUMPRODUCT(('J1 - 18 sept'!J$4:J$33=$A24)*1)=0,"",IF(SUMPRODUCT(('J1 - 18 sept'!J$4:J$33=$A24)*1)=1,INDEX('J1 - 18 sept'!$P$4:$P$33,MATCH($A24,'J1 - 18 sept'!J$4:J$33,0)),"⚠ CONFLIT")))</f>
        <v/>
      </c>
      <c r="K24" s="52" t="str">
        <f t="array" ref="K24">IF($A24="","",IF(SUMPRODUCT(('J1 - 18 sept'!K$4:K$33=$A24)*1)=0,"",IF(SUMPRODUCT(('J1 - 18 sept'!K$4:K$33=$A24)*1)=1,INDEX('J1 - 18 sept'!$P$4:$P$33,MATCH($A24,'J1 - 18 sept'!K$4:K$33,0)),"⚠ CONFLIT")))</f>
        <v/>
      </c>
      <c r="L24" s="52" t="str">
        <f t="array" ref="L24">IF($A24="","",IF(SUMPRODUCT(('J1 - 18 sept'!L$4:L$33=$A24)*1)=0,"",IF(SUMPRODUCT(('J1 - 18 sept'!L$4:L$33=$A24)*1)=1,INDEX('J1 - 18 sept'!$P$4:$P$33,MATCH($A24,'J1 - 18 sept'!L$4:L$33,0)),"⚠ CONFLIT")))</f>
        <v/>
      </c>
      <c r="M24" s="52" t="str">
        <f t="array" ref="M24">IF($A24="","",IF(SUMPRODUCT(('J1 - 18 sept'!M$4:M$33=$A24)*1)=0,"",IF(SUMPRODUCT(('J1 - 18 sept'!M$4:M$33=$A24)*1)=1,INDEX('J1 - 18 sept'!$P$4:$P$33,MATCH($A24,'J1 - 18 sept'!M$4:M$33,0)),"⚠ CONFLIT")))</f>
        <v/>
      </c>
      <c r="N24" s="52" t="str">
        <f t="array" ref="N24">IF($A24="","",IF(SUMPRODUCT(('J1 - 18 sept'!N$4:N$33=$A24)*1)=0,"",IF(SUMPRODUCT(('J1 - 18 sept'!N$4:N$33=$A24)*1)=1,INDEX('J1 - 18 sept'!$P$4:$P$33,MATCH($A24,'J1 - 18 sept'!N$4:N$33,0)),"⚠ CONFLIT")))</f>
        <v/>
      </c>
      <c r="P24" s="52" t="str">
        <f t="array" ref="P24">IF($A24="","",IF(SUMPRODUCT(('J2 - 19 sept'!C$4:C$33=$A24)*1)=0,"",IF(SUMPRODUCT(('J2 - 19 sept'!C$4:C$33=$A24)*1)=1,INDEX('J2 - 19 sept'!$P$4:$P$33,MATCH($A24,'J2 - 19 sept'!C$4:C$33,0)),"⚠ CONFLIT")))</f>
        <v/>
      </c>
      <c r="Q24" s="52" t="str">
        <f t="array" ref="Q24">IF($A24="","",IF(SUMPRODUCT(('J2 - 19 sept'!D$4:D$33=$A24)*1)=0,"",IF(SUMPRODUCT(('J2 - 19 sept'!D$4:D$33=$A24)*1)=1,INDEX('J2 - 19 sept'!$P$4:$P$33,MATCH($A24,'J2 - 19 sept'!D$4:D$33,0)),"⚠ CONFLIT")))</f>
        <v/>
      </c>
      <c r="R24" s="52" t="str">
        <f t="array" ref="R24">IF($A24="","",IF(SUMPRODUCT(('J2 - 19 sept'!E$4:E$33=$A24)*1)=0,"",IF(SUMPRODUCT(('J2 - 19 sept'!E$4:E$33=$A24)*1)=1,INDEX('J2 - 19 sept'!$P$4:$P$33,MATCH($A24,'J2 - 19 sept'!E$4:E$33,0)),"⚠ CONFLIT")))</f>
        <v/>
      </c>
      <c r="S24" s="52" t="str">
        <f t="array" ref="S24">IF($A24="","",IF(SUMPRODUCT(('J2 - 19 sept'!F$4:F$33=$A24)*1)=0,"",IF(SUMPRODUCT(('J2 - 19 sept'!F$4:F$33=$A24)*1)=1,INDEX('J2 - 19 sept'!$P$4:$P$33,MATCH($A24,'J2 - 19 sept'!F$4:F$33,0)),"⚠ CONFLIT")))</f>
        <v/>
      </c>
      <c r="T24" s="52" t="str">
        <f t="array" ref="T24">IF($A24="","",IF(SUMPRODUCT(('J2 - 19 sept'!G$4:G$33=$A24)*1)=0,"",IF(SUMPRODUCT(('J2 - 19 sept'!G$4:G$33=$A24)*1)=1,INDEX('J2 - 19 sept'!$P$4:$P$33,MATCH($A24,'J2 - 19 sept'!G$4:G$33,0)),"⚠ CONFLIT")))</f>
        <v/>
      </c>
      <c r="U24" s="52" t="str">
        <f t="array" ref="U24">IF($A24="","",IF(SUMPRODUCT(('J2 - 19 sept'!H$4:H$33=$A24)*1)=0,"",IF(SUMPRODUCT(('J2 - 19 sept'!H$4:H$33=$A24)*1)=1,INDEX('J2 - 19 sept'!$P$4:$P$33,MATCH($A24,'J2 - 19 sept'!H$4:H$33,0)),"⚠ CONFLIT")))</f>
        <v/>
      </c>
      <c r="V24" s="52" t="str">
        <f t="array" ref="V24">IF($A24="","",IF(SUMPRODUCT(('J2 - 19 sept'!I$4:I$33=$A24)*1)=0,"",IF(SUMPRODUCT(('J2 - 19 sept'!I$4:I$33=$A24)*1)=1,INDEX('J2 - 19 sept'!$P$4:$P$33,MATCH($A24,'J2 - 19 sept'!I$4:I$33,0)),"⚠ CONFLIT")))</f>
        <v/>
      </c>
      <c r="W24" s="52" t="str">
        <f t="array" ref="W24">IF($A24="","",IF(SUMPRODUCT(('J2 - 19 sept'!J$4:J$33=$A24)*1)=0,"",IF(SUMPRODUCT(('J2 - 19 sept'!J$4:J$33=$A24)*1)=1,INDEX('J2 - 19 sept'!$P$4:$P$33,MATCH($A24,'J2 - 19 sept'!J$4:J$33,0)),"⚠ CONFLIT")))</f>
        <v/>
      </c>
      <c r="X24" s="52" t="str">
        <f t="array" ref="X24">IF($A24="","",IF(SUMPRODUCT(('J2 - 19 sept'!K$4:K$33=$A24)*1)=0,"",IF(SUMPRODUCT(('J2 - 19 sept'!K$4:K$33=$A24)*1)=1,INDEX('J2 - 19 sept'!$P$4:$P$33,MATCH($A24,'J2 - 19 sept'!K$4:K$33,0)),"⚠ CONFLIT")))</f>
        <v/>
      </c>
      <c r="Y24" s="52" t="str">
        <f t="array" ref="Y24">IF($A24="","",IF(SUMPRODUCT(('J2 - 19 sept'!L$4:L$33=$A24)*1)=0,"",IF(SUMPRODUCT(('J2 - 19 sept'!L$4:L$33=$A24)*1)=1,INDEX('J2 - 19 sept'!$P$4:$P$33,MATCH($A24,'J2 - 19 sept'!L$4:L$33,0)),"⚠ CONFLIT")))</f>
        <v/>
      </c>
      <c r="Z24" s="52" t="str">
        <f t="array" ref="Z24">IF($A24="","",IF(SUMPRODUCT(('J2 - 19 sept'!M$4:M$33=$A24)*1)=0,"",IF(SUMPRODUCT(('J2 - 19 sept'!M$4:M$33=$A24)*1)=1,INDEX('J2 - 19 sept'!$P$4:$P$33,MATCH($A24,'J2 - 19 sept'!M$4:M$33,0)),"⚠ CONFLIT")))</f>
        <v/>
      </c>
      <c r="AA24" s="52" t="str">
        <f t="array" ref="AA24">IF($A24="","",IF(SUMPRODUCT(('J2 - 19 sept'!N$4:N$33=$A24)*1)=0,"",IF(SUMPRODUCT(('J2 - 19 sept'!N$4:N$33=$A24)*1)=1,INDEX('J2 - 19 sept'!$P$4:$P$33,MATCH($A24,'J2 - 19 sept'!N$4:N$33,0)),"⚠ CONFLIT")))</f>
        <v/>
      </c>
    </row>
    <row r="25" ht="15.75" customHeight="1">
      <c r="A25" s="50" t="str">
        <f>IF('Paramètres'!$B$35="","",'Paramètres'!$B$35)</f>
        <v>Macéo</v>
      </c>
      <c r="B25" s="51" t="str">
        <f>IF('Paramètres'!$C$35="","",'Paramètres'!$C$35)</f>
        <v/>
      </c>
      <c r="C25" s="52" t="str">
        <f t="array" ref="C25">IF($A25="","",IF(SUMPRODUCT(('J1 - 18 sept'!C$4:C$33=$A25)*1)=0,"",IF(SUMPRODUCT(('J1 - 18 sept'!C$4:C$33=$A25)*1)=1,INDEX('J1 - 18 sept'!$P$4:$P$33,MATCH($A25,'J1 - 18 sept'!C$4:C$33,0)),"⚠ CONFLIT")))</f>
        <v/>
      </c>
      <c r="D25" s="52" t="str">
        <f t="array" ref="D25">IF($A25="","",IF(SUMPRODUCT(('J1 - 18 sept'!D$4:D$33=$A25)*1)=0,"",IF(SUMPRODUCT(('J1 - 18 sept'!D$4:D$33=$A25)*1)=1,INDEX('J1 - 18 sept'!$P$4:$P$33,MATCH($A25,'J1 - 18 sept'!D$4:D$33,0)),"⚠ CONFLIT")))</f>
        <v/>
      </c>
      <c r="E25" s="52" t="str">
        <f t="array" ref="E25">IF($A25="","",IF(SUMPRODUCT(('J1 - 18 sept'!E$4:E$33=$A25)*1)=0,"",IF(SUMPRODUCT(('J1 - 18 sept'!E$4:E$33=$A25)*1)=1,INDEX('J1 - 18 sept'!$P$4:$P$33,MATCH($A25,'J1 - 18 sept'!E$4:E$33,0)),"⚠ CONFLIT")))</f>
        <v/>
      </c>
      <c r="F25" s="52" t="str">
        <f t="array" ref="F25">IF($A25="","",IF(SUMPRODUCT(('J1 - 18 sept'!F$4:F$33=$A25)*1)=0,"",IF(SUMPRODUCT(('J1 - 18 sept'!F$4:F$33=$A25)*1)=1,INDEX('J1 - 18 sept'!$P$4:$P$33,MATCH($A25,'J1 - 18 sept'!F$4:F$33,0)),"⚠ CONFLIT")))</f>
        <v/>
      </c>
      <c r="G25" s="52" t="str">
        <f t="array" ref="G25">IF($A25="","",IF(SUMPRODUCT(('J1 - 18 sept'!G$4:G$33=$A25)*1)=0,"",IF(SUMPRODUCT(('J1 - 18 sept'!G$4:G$33=$A25)*1)=1,INDEX('J1 - 18 sept'!$P$4:$P$33,MATCH($A25,'J1 - 18 sept'!G$4:G$33,0)),"⚠ CONFLIT")))</f>
        <v/>
      </c>
      <c r="H25" s="52" t="str">
        <f t="array" ref="H25">IF($A25="","",IF(SUMPRODUCT(('J1 - 18 sept'!H$4:H$33=$A25)*1)=0,"",IF(SUMPRODUCT(('J1 - 18 sept'!H$4:H$33=$A25)*1)=1,INDEX('J1 - 18 sept'!$P$4:$P$33,MATCH($A25,'J1 - 18 sept'!H$4:H$33,0)),"⚠ CONFLIT")))</f>
        <v/>
      </c>
      <c r="I25" s="52" t="str">
        <f t="array" ref="I25">IF($A25="","",IF(SUMPRODUCT(('J1 - 18 sept'!I$4:I$33=$A25)*1)=0,"",IF(SUMPRODUCT(('J1 - 18 sept'!I$4:I$33=$A25)*1)=1,INDEX('J1 - 18 sept'!$P$4:$P$33,MATCH($A25,'J1 - 18 sept'!I$4:I$33,0)),"⚠ CONFLIT")))</f>
        <v/>
      </c>
      <c r="J25" s="52" t="str">
        <f t="array" ref="J25">IF($A25="","",IF(SUMPRODUCT(('J1 - 18 sept'!J$4:J$33=$A25)*1)=0,"",IF(SUMPRODUCT(('J1 - 18 sept'!J$4:J$33=$A25)*1)=1,INDEX('J1 - 18 sept'!$P$4:$P$33,MATCH($A25,'J1 - 18 sept'!J$4:J$33,0)),"⚠ CONFLIT")))</f>
        <v/>
      </c>
      <c r="K25" s="52" t="str">
        <f t="array" ref="K25">IF($A25="","",IF(SUMPRODUCT(('J1 - 18 sept'!K$4:K$33=$A25)*1)=0,"",IF(SUMPRODUCT(('J1 - 18 sept'!K$4:K$33=$A25)*1)=1,INDEX('J1 - 18 sept'!$P$4:$P$33,MATCH($A25,'J1 - 18 sept'!K$4:K$33,0)),"⚠ CONFLIT")))</f>
        <v/>
      </c>
      <c r="L25" s="52" t="str">
        <f t="array" ref="L25">IF($A25="","",IF(SUMPRODUCT(('J1 - 18 sept'!L$4:L$33=$A25)*1)=0,"",IF(SUMPRODUCT(('J1 - 18 sept'!L$4:L$33=$A25)*1)=1,INDEX('J1 - 18 sept'!$P$4:$P$33,MATCH($A25,'J1 - 18 sept'!L$4:L$33,0)),"⚠ CONFLIT")))</f>
        <v/>
      </c>
      <c r="M25" s="52" t="str">
        <f t="array" ref="M25">IF($A25="","",IF(SUMPRODUCT(('J1 - 18 sept'!M$4:M$33=$A25)*1)=0,"",IF(SUMPRODUCT(('J1 - 18 sept'!M$4:M$33=$A25)*1)=1,INDEX('J1 - 18 sept'!$P$4:$P$33,MATCH($A25,'J1 - 18 sept'!M$4:M$33,0)),"⚠ CONFLIT")))</f>
        <v/>
      </c>
      <c r="N25" s="52" t="str">
        <f t="array" ref="N25">IF($A25="","",IF(SUMPRODUCT(('J1 - 18 sept'!N$4:N$33=$A25)*1)=0,"",IF(SUMPRODUCT(('J1 - 18 sept'!N$4:N$33=$A25)*1)=1,INDEX('J1 - 18 sept'!$P$4:$P$33,MATCH($A25,'J1 - 18 sept'!N$4:N$33,0)),"⚠ CONFLIT")))</f>
        <v/>
      </c>
      <c r="P25" s="52" t="str">
        <f t="array" ref="P25">IF($A25="","",IF(SUMPRODUCT(('J2 - 19 sept'!C$4:C$33=$A25)*1)=0,"",IF(SUMPRODUCT(('J2 - 19 sept'!C$4:C$33=$A25)*1)=1,INDEX('J2 - 19 sept'!$P$4:$P$33,MATCH($A25,'J2 - 19 sept'!C$4:C$33,0)),"⚠ CONFLIT")))</f>
        <v/>
      </c>
      <c r="Q25" s="52" t="str">
        <f t="array" ref="Q25">IF($A25="","",IF(SUMPRODUCT(('J2 - 19 sept'!D$4:D$33=$A25)*1)=0,"",IF(SUMPRODUCT(('J2 - 19 sept'!D$4:D$33=$A25)*1)=1,INDEX('J2 - 19 sept'!$P$4:$P$33,MATCH($A25,'J2 - 19 sept'!D$4:D$33,0)),"⚠ CONFLIT")))</f>
        <v/>
      </c>
      <c r="R25" s="52" t="str">
        <f t="array" ref="R25">IF($A25="","",IF(SUMPRODUCT(('J2 - 19 sept'!E$4:E$33=$A25)*1)=0,"",IF(SUMPRODUCT(('J2 - 19 sept'!E$4:E$33=$A25)*1)=1,INDEX('J2 - 19 sept'!$P$4:$P$33,MATCH($A25,'J2 - 19 sept'!E$4:E$33,0)),"⚠ CONFLIT")))</f>
        <v/>
      </c>
      <c r="S25" s="52" t="str">
        <f t="array" ref="S25">IF($A25="","",IF(SUMPRODUCT(('J2 - 19 sept'!F$4:F$33=$A25)*1)=0,"",IF(SUMPRODUCT(('J2 - 19 sept'!F$4:F$33=$A25)*1)=1,INDEX('J2 - 19 sept'!$P$4:$P$33,MATCH($A25,'J2 - 19 sept'!F$4:F$33,0)),"⚠ CONFLIT")))</f>
        <v/>
      </c>
      <c r="T25" s="52" t="str">
        <f t="array" ref="T25">IF($A25="","",IF(SUMPRODUCT(('J2 - 19 sept'!G$4:G$33=$A25)*1)=0,"",IF(SUMPRODUCT(('J2 - 19 sept'!G$4:G$33=$A25)*1)=1,INDEX('J2 - 19 sept'!$P$4:$P$33,MATCH($A25,'J2 - 19 sept'!G$4:G$33,0)),"⚠ CONFLIT")))</f>
        <v/>
      </c>
      <c r="U25" s="52" t="str">
        <f t="array" ref="U25">IF($A25="","",IF(SUMPRODUCT(('J2 - 19 sept'!H$4:H$33=$A25)*1)=0,"",IF(SUMPRODUCT(('J2 - 19 sept'!H$4:H$33=$A25)*1)=1,INDEX('J2 - 19 sept'!$P$4:$P$33,MATCH($A25,'J2 - 19 sept'!H$4:H$33,0)),"⚠ CONFLIT")))</f>
        <v/>
      </c>
      <c r="V25" s="52" t="str">
        <f t="array" ref="V25">IF($A25="","",IF(SUMPRODUCT(('J2 - 19 sept'!I$4:I$33=$A25)*1)=0,"",IF(SUMPRODUCT(('J2 - 19 sept'!I$4:I$33=$A25)*1)=1,INDEX('J2 - 19 sept'!$P$4:$P$33,MATCH($A25,'J2 - 19 sept'!I$4:I$33,0)),"⚠ CONFLIT")))</f>
        <v/>
      </c>
      <c r="W25" s="52" t="str">
        <f t="array" ref="W25">IF($A25="","",IF(SUMPRODUCT(('J2 - 19 sept'!J$4:J$33=$A25)*1)=0,"",IF(SUMPRODUCT(('J2 - 19 sept'!J$4:J$33=$A25)*1)=1,INDEX('J2 - 19 sept'!$P$4:$P$33,MATCH($A25,'J2 - 19 sept'!J$4:J$33,0)),"⚠ CONFLIT")))</f>
        <v/>
      </c>
      <c r="X25" s="52" t="str">
        <f t="array" ref="X25">IF($A25="","",IF(SUMPRODUCT(('J2 - 19 sept'!K$4:K$33=$A25)*1)=0,"",IF(SUMPRODUCT(('J2 - 19 sept'!K$4:K$33=$A25)*1)=1,INDEX('J2 - 19 sept'!$P$4:$P$33,MATCH($A25,'J2 - 19 sept'!K$4:K$33,0)),"⚠ CONFLIT")))</f>
        <v/>
      </c>
      <c r="Y25" s="52" t="str">
        <f t="array" ref="Y25">IF($A25="","",IF(SUMPRODUCT(('J2 - 19 sept'!L$4:L$33=$A25)*1)=0,"",IF(SUMPRODUCT(('J2 - 19 sept'!L$4:L$33=$A25)*1)=1,INDEX('J2 - 19 sept'!$P$4:$P$33,MATCH($A25,'J2 - 19 sept'!L$4:L$33,0)),"⚠ CONFLIT")))</f>
        <v/>
      </c>
      <c r="Z25" s="52" t="str">
        <f t="array" ref="Z25">IF($A25="","",IF(SUMPRODUCT(('J2 - 19 sept'!M$4:M$33=$A25)*1)=0,"",IF(SUMPRODUCT(('J2 - 19 sept'!M$4:M$33=$A25)*1)=1,INDEX('J2 - 19 sept'!$P$4:$P$33,MATCH($A25,'J2 - 19 sept'!M$4:M$33,0)),"⚠ CONFLIT")))</f>
        <v/>
      </c>
      <c r="AA25" s="52" t="str">
        <f t="array" ref="AA25">IF($A25="","",IF(SUMPRODUCT(('J2 - 19 sept'!N$4:N$33=$A25)*1)=0,"",IF(SUMPRODUCT(('J2 - 19 sept'!N$4:N$33=$A25)*1)=1,INDEX('J2 - 19 sept'!$P$4:$P$33,MATCH($A25,'J2 - 19 sept'!N$4:N$33,0)),"⚠ CONFLIT")))</f>
        <v/>
      </c>
    </row>
    <row r="26" ht="15.75" customHeight="1">
      <c r="A26" s="50" t="str">
        <f>IF('Paramètres'!$B$36="","",'Paramètres'!$B$36)</f>
        <v>Blanche</v>
      </c>
      <c r="B26" s="51" t="str">
        <f>IF('Paramètres'!$C$36="","",'Paramètres'!$C$36)</f>
        <v/>
      </c>
      <c r="C26" s="52" t="str">
        <f t="array" ref="C26">IF($A26="","",IF(SUMPRODUCT(('J1 - 18 sept'!C$4:C$33=$A26)*1)=0,"",IF(SUMPRODUCT(('J1 - 18 sept'!C$4:C$33=$A26)*1)=1,INDEX('J1 - 18 sept'!$P$4:$P$33,MATCH($A26,'J1 - 18 sept'!C$4:C$33,0)),"⚠ CONFLIT")))</f>
        <v/>
      </c>
      <c r="D26" s="52" t="str">
        <f t="array" ref="D26">IF($A26="","",IF(SUMPRODUCT(('J1 - 18 sept'!D$4:D$33=$A26)*1)=0,"",IF(SUMPRODUCT(('J1 - 18 sept'!D$4:D$33=$A26)*1)=1,INDEX('J1 - 18 sept'!$P$4:$P$33,MATCH($A26,'J1 - 18 sept'!D$4:D$33,0)),"⚠ CONFLIT")))</f>
        <v/>
      </c>
      <c r="E26" s="52" t="str">
        <f t="array" ref="E26">IF($A26="","",IF(SUMPRODUCT(('J1 - 18 sept'!E$4:E$33=$A26)*1)=0,"",IF(SUMPRODUCT(('J1 - 18 sept'!E$4:E$33=$A26)*1)=1,INDEX('J1 - 18 sept'!$P$4:$P$33,MATCH($A26,'J1 - 18 sept'!E$4:E$33,0)),"⚠ CONFLIT")))</f>
        <v/>
      </c>
      <c r="F26" s="52" t="str">
        <f t="array" ref="F26">IF($A26="","",IF(SUMPRODUCT(('J1 - 18 sept'!F$4:F$33=$A26)*1)=0,"",IF(SUMPRODUCT(('J1 - 18 sept'!F$4:F$33=$A26)*1)=1,INDEX('J1 - 18 sept'!$P$4:$P$33,MATCH($A26,'J1 - 18 sept'!F$4:F$33,0)),"⚠ CONFLIT")))</f>
        <v/>
      </c>
      <c r="G26" s="52" t="str">
        <f t="array" ref="G26">IF($A26="","",IF(SUMPRODUCT(('J1 - 18 sept'!G$4:G$33=$A26)*1)=0,"",IF(SUMPRODUCT(('J1 - 18 sept'!G$4:G$33=$A26)*1)=1,INDEX('J1 - 18 sept'!$P$4:$P$33,MATCH($A26,'J1 - 18 sept'!G$4:G$33,0)),"⚠ CONFLIT")))</f>
        <v/>
      </c>
      <c r="H26" s="52" t="str">
        <f t="array" ref="H26">IF($A26="","",IF(SUMPRODUCT(('J1 - 18 sept'!H$4:H$33=$A26)*1)=0,"",IF(SUMPRODUCT(('J1 - 18 sept'!H$4:H$33=$A26)*1)=1,INDEX('J1 - 18 sept'!$P$4:$P$33,MATCH($A26,'J1 - 18 sept'!H$4:H$33,0)),"⚠ CONFLIT")))</f>
        <v/>
      </c>
      <c r="I26" s="52" t="str">
        <f t="array" ref="I26">IF($A26="","",IF(SUMPRODUCT(('J1 - 18 sept'!I$4:I$33=$A26)*1)=0,"",IF(SUMPRODUCT(('J1 - 18 sept'!I$4:I$33=$A26)*1)=1,INDEX('J1 - 18 sept'!$P$4:$P$33,MATCH($A26,'J1 - 18 sept'!I$4:I$33,0)),"⚠ CONFLIT")))</f>
        <v/>
      </c>
      <c r="J26" s="52" t="str">
        <f t="array" ref="J26">IF($A26="","",IF(SUMPRODUCT(('J1 - 18 sept'!J$4:J$33=$A26)*1)=0,"",IF(SUMPRODUCT(('J1 - 18 sept'!J$4:J$33=$A26)*1)=1,INDEX('J1 - 18 sept'!$P$4:$P$33,MATCH($A26,'J1 - 18 sept'!J$4:J$33,0)),"⚠ CONFLIT")))</f>
        <v/>
      </c>
      <c r="K26" s="52" t="str">
        <f t="array" ref="K26">IF($A26="","",IF(SUMPRODUCT(('J1 - 18 sept'!K$4:K$33=$A26)*1)=0,"",IF(SUMPRODUCT(('J1 - 18 sept'!K$4:K$33=$A26)*1)=1,INDEX('J1 - 18 sept'!$P$4:$P$33,MATCH($A26,'J1 - 18 sept'!K$4:K$33,0)),"⚠ CONFLIT")))</f>
        <v/>
      </c>
      <c r="L26" s="52" t="str">
        <f t="array" ref="L26">IF($A26="","",IF(SUMPRODUCT(('J1 - 18 sept'!L$4:L$33=$A26)*1)=0,"",IF(SUMPRODUCT(('J1 - 18 sept'!L$4:L$33=$A26)*1)=1,INDEX('J1 - 18 sept'!$P$4:$P$33,MATCH($A26,'J1 - 18 sept'!L$4:L$33,0)),"⚠ CONFLIT")))</f>
        <v/>
      </c>
      <c r="M26" s="52" t="str">
        <f t="array" ref="M26">IF($A26="","",IF(SUMPRODUCT(('J1 - 18 sept'!M$4:M$33=$A26)*1)=0,"",IF(SUMPRODUCT(('J1 - 18 sept'!M$4:M$33=$A26)*1)=1,INDEX('J1 - 18 sept'!$P$4:$P$33,MATCH($A26,'J1 - 18 sept'!M$4:M$33,0)),"⚠ CONFLIT")))</f>
        <v/>
      </c>
      <c r="N26" s="52" t="str">
        <f t="array" ref="N26">IF($A26="","",IF(SUMPRODUCT(('J1 - 18 sept'!N$4:N$33=$A26)*1)=0,"",IF(SUMPRODUCT(('J1 - 18 sept'!N$4:N$33=$A26)*1)=1,INDEX('J1 - 18 sept'!$P$4:$P$33,MATCH($A26,'J1 - 18 sept'!N$4:N$33,0)),"⚠ CONFLIT")))</f>
        <v/>
      </c>
      <c r="P26" s="52" t="str">
        <f t="array" ref="P26">IF($A26="","",IF(SUMPRODUCT(('J2 - 19 sept'!C$4:C$33=$A26)*1)=0,"",IF(SUMPRODUCT(('J2 - 19 sept'!C$4:C$33=$A26)*1)=1,INDEX('J2 - 19 sept'!$P$4:$P$33,MATCH($A26,'J2 - 19 sept'!C$4:C$33,0)),"⚠ CONFLIT")))</f>
        <v/>
      </c>
      <c r="Q26" s="52" t="str">
        <f t="array" ref="Q26">IF($A26="","",IF(SUMPRODUCT(('J2 - 19 sept'!D$4:D$33=$A26)*1)=0,"",IF(SUMPRODUCT(('J2 - 19 sept'!D$4:D$33=$A26)*1)=1,INDEX('J2 - 19 sept'!$P$4:$P$33,MATCH($A26,'J2 - 19 sept'!D$4:D$33,0)),"⚠ CONFLIT")))</f>
        <v/>
      </c>
      <c r="R26" s="52" t="str">
        <f t="array" ref="R26">IF($A26="","",IF(SUMPRODUCT(('J2 - 19 sept'!E$4:E$33=$A26)*1)=0,"",IF(SUMPRODUCT(('J2 - 19 sept'!E$4:E$33=$A26)*1)=1,INDEX('J2 - 19 sept'!$P$4:$P$33,MATCH($A26,'J2 - 19 sept'!E$4:E$33,0)),"⚠ CONFLIT")))</f>
        <v/>
      </c>
      <c r="S26" s="52" t="str">
        <f t="array" ref="S26">IF($A26="","",IF(SUMPRODUCT(('J2 - 19 sept'!F$4:F$33=$A26)*1)=0,"",IF(SUMPRODUCT(('J2 - 19 sept'!F$4:F$33=$A26)*1)=1,INDEX('J2 - 19 sept'!$P$4:$P$33,MATCH($A26,'J2 - 19 sept'!F$4:F$33,0)),"⚠ CONFLIT")))</f>
        <v/>
      </c>
      <c r="T26" s="52" t="str">
        <f t="array" ref="T26">IF($A26="","",IF(SUMPRODUCT(('J2 - 19 sept'!G$4:G$33=$A26)*1)=0,"",IF(SUMPRODUCT(('J2 - 19 sept'!G$4:G$33=$A26)*1)=1,INDEX('J2 - 19 sept'!$P$4:$P$33,MATCH($A26,'J2 - 19 sept'!G$4:G$33,0)),"⚠ CONFLIT")))</f>
        <v/>
      </c>
      <c r="U26" s="52" t="str">
        <f t="array" ref="U26">IF($A26="","",IF(SUMPRODUCT(('J2 - 19 sept'!H$4:H$33=$A26)*1)=0,"",IF(SUMPRODUCT(('J2 - 19 sept'!H$4:H$33=$A26)*1)=1,INDEX('J2 - 19 sept'!$P$4:$P$33,MATCH($A26,'J2 - 19 sept'!H$4:H$33,0)),"⚠ CONFLIT")))</f>
        <v/>
      </c>
      <c r="V26" s="52" t="str">
        <f t="array" ref="V26">IF($A26="","",IF(SUMPRODUCT(('J2 - 19 sept'!I$4:I$33=$A26)*1)=0,"",IF(SUMPRODUCT(('J2 - 19 sept'!I$4:I$33=$A26)*1)=1,INDEX('J2 - 19 sept'!$P$4:$P$33,MATCH($A26,'J2 - 19 sept'!I$4:I$33,0)),"⚠ CONFLIT")))</f>
        <v/>
      </c>
      <c r="W26" s="52" t="str">
        <f t="array" ref="W26">IF($A26="","",IF(SUMPRODUCT(('J2 - 19 sept'!J$4:J$33=$A26)*1)=0,"",IF(SUMPRODUCT(('J2 - 19 sept'!J$4:J$33=$A26)*1)=1,INDEX('J2 - 19 sept'!$P$4:$P$33,MATCH($A26,'J2 - 19 sept'!J$4:J$33,0)),"⚠ CONFLIT")))</f>
        <v/>
      </c>
      <c r="X26" s="52" t="str">
        <f t="array" ref="X26">IF($A26="","",IF(SUMPRODUCT(('J2 - 19 sept'!K$4:K$33=$A26)*1)=0,"",IF(SUMPRODUCT(('J2 - 19 sept'!K$4:K$33=$A26)*1)=1,INDEX('J2 - 19 sept'!$P$4:$P$33,MATCH($A26,'J2 - 19 sept'!K$4:K$33,0)),"⚠ CONFLIT")))</f>
        <v/>
      </c>
      <c r="Y26" s="52" t="str">
        <f t="array" ref="Y26">IF($A26="","",IF(SUMPRODUCT(('J2 - 19 sept'!L$4:L$33=$A26)*1)=0,"",IF(SUMPRODUCT(('J2 - 19 sept'!L$4:L$33=$A26)*1)=1,INDEX('J2 - 19 sept'!$P$4:$P$33,MATCH($A26,'J2 - 19 sept'!L$4:L$33,0)),"⚠ CONFLIT")))</f>
        <v/>
      </c>
      <c r="Z26" s="52" t="str">
        <f t="array" ref="Z26">IF($A26="","",IF(SUMPRODUCT(('J2 - 19 sept'!M$4:M$33=$A26)*1)=0,"",IF(SUMPRODUCT(('J2 - 19 sept'!M$4:M$33=$A26)*1)=1,INDEX('J2 - 19 sept'!$P$4:$P$33,MATCH($A26,'J2 - 19 sept'!M$4:M$33,0)),"⚠ CONFLIT")))</f>
        <v/>
      </c>
      <c r="AA26" s="52" t="str">
        <f t="array" ref="AA26">IF($A26="","",IF(SUMPRODUCT(('J2 - 19 sept'!N$4:N$33=$A26)*1)=0,"",IF(SUMPRODUCT(('J2 - 19 sept'!N$4:N$33=$A26)*1)=1,INDEX('J2 - 19 sept'!$P$4:$P$33,MATCH($A26,'J2 - 19 sept'!N$4:N$33,0)),"⚠ CONFLIT")))</f>
        <v/>
      </c>
    </row>
    <row r="27" ht="15.75" customHeight="1">
      <c r="A27" s="50" t="str">
        <f>IF('Paramètres'!$B$37="","",'Paramètres'!$B$37)</f>
        <v>Léo-Paul</v>
      </c>
      <c r="B27" s="51" t="str">
        <f>IF('Paramètres'!$C$37="","",'Paramètres'!$C$37)</f>
        <v/>
      </c>
      <c r="C27" s="52" t="str">
        <f t="array" ref="C27">IF($A27="","",IF(SUMPRODUCT(('J1 - 18 sept'!C$4:C$33=$A27)*1)=0,"",IF(SUMPRODUCT(('J1 - 18 sept'!C$4:C$33=$A27)*1)=1,INDEX('J1 - 18 sept'!$P$4:$P$33,MATCH($A27,'J1 - 18 sept'!C$4:C$33,0)),"⚠ CONFLIT")))</f>
        <v/>
      </c>
      <c r="D27" s="52" t="str">
        <f t="array" ref="D27">IF($A27="","",IF(SUMPRODUCT(('J1 - 18 sept'!D$4:D$33=$A27)*1)=0,"",IF(SUMPRODUCT(('J1 - 18 sept'!D$4:D$33=$A27)*1)=1,INDEX('J1 - 18 sept'!$P$4:$P$33,MATCH($A27,'J1 - 18 sept'!D$4:D$33,0)),"⚠ CONFLIT")))</f>
        <v/>
      </c>
      <c r="E27" s="52" t="str">
        <f t="array" ref="E27">IF($A27="","",IF(SUMPRODUCT(('J1 - 18 sept'!E$4:E$33=$A27)*1)=0,"",IF(SUMPRODUCT(('J1 - 18 sept'!E$4:E$33=$A27)*1)=1,INDEX('J1 - 18 sept'!$P$4:$P$33,MATCH($A27,'J1 - 18 sept'!E$4:E$33,0)),"⚠ CONFLIT")))</f>
        <v/>
      </c>
      <c r="F27" s="52" t="str">
        <f t="array" ref="F27">IF($A27="","",IF(SUMPRODUCT(('J1 - 18 sept'!F$4:F$33=$A27)*1)=0,"",IF(SUMPRODUCT(('J1 - 18 sept'!F$4:F$33=$A27)*1)=1,INDEX('J1 - 18 sept'!$P$4:$P$33,MATCH($A27,'J1 - 18 sept'!F$4:F$33,0)),"⚠ CONFLIT")))</f>
        <v/>
      </c>
      <c r="G27" s="52" t="str">
        <f t="array" ref="G27">IF($A27="","",IF(SUMPRODUCT(('J1 - 18 sept'!G$4:G$33=$A27)*1)=0,"",IF(SUMPRODUCT(('J1 - 18 sept'!G$4:G$33=$A27)*1)=1,INDEX('J1 - 18 sept'!$P$4:$P$33,MATCH($A27,'J1 - 18 sept'!G$4:G$33,0)),"⚠ CONFLIT")))</f>
        <v/>
      </c>
      <c r="H27" s="52" t="str">
        <f t="array" ref="H27">IF($A27="","",IF(SUMPRODUCT(('J1 - 18 sept'!H$4:H$33=$A27)*1)=0,"",IF(SUMPRODUCT(('J1 - 18 sept'!H$4:H$33=$A27)*1)=1,INDEX('J1 - 18 sept'!$P$4:$P$33,MATCH($A27,'J1 - 18 sept'!H$4:H$33,0)),"⚠ CONFLIT")))</f>
        <v/>
      </c>
      <c r="I27" s="52" t="str">
        <f t="array" ref="I27">IF($A27="","",IF(SUMPRODUCT(('J1 - 18 sept'!I$4:I$33=$A27)*1)=0,"",IF(SUMPRODUCT(('J1 - 18 sept'!I$4:I$33=$A27)*1)=1,INDEX('J1 - 18 sept'!$P$4:$P$33,MATCH($A27,'J1 - 18 sept'!I$4:I$33,0)),"⚠ CONFLIT")))</f>
        <v/>
      </c>
      <c r="J27" s="52" t="str">
        <f t="array" ref="J27">IF($A27="","",IF(SUMPRODUCT(('J1 - 18 sept'!J$4:J$33=$A27)*1)=0,"",IF(SUMPRODUCT(('J1 - 18 sept'!J$4:J$33=$A27)*1)=1,INDEX('J1 - 18 sept'!$P$4:$P$33,MATCH($A27,'J1 - 18 sept'!J$4:J$33,0)),"⚠ CONFLIT")))</f>
        <v/>
      </c>
      <c r="K27" s="52" t="str">
        <f t="array" ref="K27">IF($A27="","",IF(SUMPRODUCT(('J1 - 18 sept'!K$4:K$33=$A27)*1)=0,"",IF(SUMPRODUCT(('J1 - 18 sept'!K$4:K$33=$A27)*1)=1,INDEX('J1 - 18 sept'!$P$4:$P$33,MATCH($A27,'J1 - 18 sept'!K$4:K$33,0)),"⚠ CONFLIT")))</f>
        <v/>
      </c>
      <c r="L27" s="52" t="str">
        <f t="array" ref="L27">IF($A27="","",IF(SUMPRODUCT(('J1 - 18 sept'!L$4:L$33=$A27)*1)=0,"",IF(SUMPRODUCT(('J1 - 18 sept'!L$4:L$33=$A27)*1)=1,INDEX('J1 - 18 sept'!$P$4:$P$33,MATCH($A27,'J1 - 18 sept'!L$4:L$33,0)),"⚠ CONFLIT")))</f>
        <v/>
      </c>
      <c r="M27" s="52" t="str">
        <f t="array" ref="M27">IF($A27="","",IF(SUMPRODUCT(('J1 - 18 sept'!M$4:M$33=$A27)*1)=0,"",IF(SUMPRODUCT(('J1 - 18 sept'!M$4:M$33=$A27)*1)=1,INDEX('J1 - 18 sept'!$P$4:$P$33,MATCH($A27,'J1 - 18 sept'!M$4:M$33,0)),"⚠ CONFLIT")))</f>
        <v/>
      </c>
      <c r="N27" s="52" t="str">
        <f t="array" ref="N27">IF($A27="","",IF(SUMPRODUCT(('J1 - 18 sept'!N$4:N$33=$A27)*1)=0,"",IF(SUMPRODUCT(('J1 - 18 sept'!N$4:N$33=$A27)*1)=1,INDEX('J1 - 18 sept'!$P$4:$P$33,MATCH($A27,'J1 - 18 sept'!N$4:N$33,0)),"⚠ CONFLIT")))</f>
        <v/>
      </c>
      <c r="P27" s="52" t="str">
        <f t="array" ref="P27">IF($A27="","",IF(SUMPRODUCT(('J2 - 19 sept'!C$4:C$33=$A27)*1)=0,"",IF(SUMPRODUCT(('J2 - 19 sept'!C$4:C$33=$A27)*1)=1,INDEX('J2 - 19 sept'!$P$4:$P$33,MATCH($A27,'J2 - 19 sept'!C$4:C$33,0)),"⚠ CONFLIT")))</f>
        <v/>
      </c>
      <c r="Q27" s="52" t="str">
        <f t="array" ref="Q27">IF($A27="","",IF(SUMPRODUCT(('J2 - 19 sept'!D$4:D$33=$A27)*1)=0,"",IF(SUMPRODUCT(('J2 - 19 sept'!D$4:D$33=$A27)*1)=1,INDEX('J2 - 19 sept'!$P$4:$P$33,MATCH($A27,'J2 - 19 sept'!D$4:D$33,0)),"⚠ CONFLIT")))</f>
        <v/>
      </c>
      <c r="R27" s="52" t="str">
        <f t="array" ref="R27">IF($A27="","",IF(SUMPRODUCT(('J2 - 19 sept'!E$4:E$33=$A27)*1)=0,"",IF(SUMPRODUCT(('J2 - 19 sept'!E$4:E$33=$A27)*1)=1,INDEX('J2 - 19 sept'!$P$4:$P$33,MATCH($A27,'J2 - 19 sept'!E$4:E$33,0)),"⚠ CONFLIT")))</f>
        <v/>
      </c>
      <c r="S27" s="52" t="str">
        <f t="array" ref="S27">IF($A27="","",IF(SUMPRODUCT(('J2 - 19 sept'!F$4:F$33=$A27)*1)=0,"",IF(SUMPRODUCT(('J2 - 19 sept'!F$4:F$33=$A27)*1)=1,INDEX('J2 - 19 sept'!$P$4:$P$33,MATCH($A27,'J2 - 19 sept'!F$4:F$33,0)),"⚠ CONFLIT")))</f>
        <v/>
      </c>
      <c r="T27" s="52" t="str">
        <f t="array" ref="T27">IF($A27="","",IF(SUMPRODUCT(('J2 - 19 sept'!G$4:G$33=$A27)*1)=0,"",IF(SUMPRODUCT(('J2 - 19 sept'!G$4:G$33=$A27)*1)=1,INDEX('J2 - 19 sept'!$P$4:$P$33,MATCH($A27,'J2 - 19 sept'!G$4:G$33,0)),"⚠ CONFLIT")))</f>
        <v/>
      </c>
      <c r="U27" s="52" t="str">
        <f t="array" ref="U27">IF($A27="","",IF(SUMPRODUCT(('J2 - 19 sept'!H$4:H$33=$A27)*1)=0,"",IF(SUMPRODUCT(('J2 - 19 sept'!H$4:H$33=$A27)*1)=1,INDEX('J2 - 19 sept'!$P$4:$P$33,MATCH($A27,'J2 - 19 sept'!H$4:H$33,0)),"⚠ CONFLIT")))</f>
        <v/>
      </c>
      <c r="V27" s="52" t="str">
        <f t="array" ref="V27">IF($A27="","",IF(SUMPRODUCT(('J2 - 19 sept'!I$4:I$33=$A27)*1)=0,"",IF(SUMPRODUCT(('J2 - 19 sept'!I$4:I$33=$A27)*1)=1,INDEX('J2 - 19 sept'!$P$4:$P$33,MATCH($A27,'J2 - 19 sept'!I$4:I$33,0)),"⚠ CONFLIT")))</f>
        <v/>
      </c>
      <c r="W27" s="52" t="str">
        <f t="array" ref="W27">IF($A27="","",IF(SUMPRODUCT(('J2 - 19 sept'!J$4:J$33=$A27)*1)=0,"",IF(SUMPRODUCT(('J2 - 19 sept'!J$4:J$33=$A27)*1)=1,INDEX('J2 - 19 sept'!$P$4:$P$33,MATCH($A27,'J2 - 19 sept'!J$4:J$33,0)),"⚠ CONFLIT")))</f>
        <v/>
      </c>
      <c r="X27" s="52" t="str">
        <f t="array" ref="X27">IF($A27="","",IF(SUMPRODUCT(('J2 - 19 sept'!K$4:K$33=$A27)*1)=0,"",IF(SUMPRODUCT(('J2 - 19 sept'!K$4:K$33=$A27)*1)=1,INDEX('J2 - 19 sept'!$P$4:$P$33,MATCH($A27,'J2 - 19 sept'!K$4:K$33,0)),"⚠ CONFLIT")))</f>
        <v/>
      </c>
      <c r="Y27" s="52" t="str">
        <f t="array" ref="Y27">IF($A27="","",IF(SUMPRODUCT(('J2 - 19 sept'!L$4:L$33=$A27)*1)=0,"",IF(SUMPRODUCT(('J2 - 19 sept'!L$4:L$33=$A27)*1)=1,INDEX('J2 - 19 sept'!$P$4:$P$33,MATCH($A27,'J2 - 19 sept'!L$4:L$33,0)),"⚠ CONFLIT")))</f>
        <v/>
      </c>
      <c r="Z27" s="52" t="str">
        <f t="array" ref="Z27">IF($A27="","",IF(SUMPRODUCT(('J2 - 19 sept'!M$4:M$33=$A27)*1)=0,"",IF(SUMPRODUCT(('J2 - 19 sept'!M$4:M$33=$A27)*1)=1,INDEX('J2 - 19 sept'!$P$4:$P$33,MATCH($A27,'J2 - 19 sept'!M$4:M$33,0)),"⚠ CONFLIT")))</f>
        <v/>
      </c>
      <c r="AA27" s="52" t="str">
        <f t="array" ref="AA27">IF($A27="","",IF(SUMPRODUCT(('J2 - 19 sept'!N$4:N$33=$A27)*1)=0,"",IF(SUMPRODUCT(('J2 - 19 sept'!N$4:N$33=$A27)*1)=1,INDEX('J2 - 19 sept'!$P$4:$P$33,MATCH($A27,'J2 - 19 sept'!N$4:N$33,0)),"⚠ CONFLIT")))</f>
        <v/>
      </c>
    </row>
    <row r="28" ht="15.75" customHeight="1">
      <c r="A28" s="50" t="str">
        <f>IF('Paramètres'!$B$38="","",'Paramètres'!$B$38)</f>
        <v>Ulysse</v>
      </c>
      <c r="B28" s="51" t="str">
        <f>IF('Paramètres'!$C$38="","",'Paramètres'!$C$38)</f>
        <v/>
      </c>
      <c r="C28" s="52" t="str">
        <f t="array" ref="C28">IF($A28="","",IF(SUMPRODUCT(('J1 - 18 sept'!C$4:C$33=$A28)*1)=0,"",IF(SUMPRODUCT(('J1 - 18 sept'!C$4:C$33=$A28)*1)=1,INDEX('J1 - 18 sept'!$P$4:$P$33,MATCH($A28,'J1 - 18 sept'!C$4:C$33,0)),"⚠ CONFLIT")))</f>
        <v/>
      </c>
      <c r="D28" s="52" t="str">
        <f t="array" ref="D28">IF($A28="","",IF(SUMPRODUCT(('J1 - 18 sept'!D$4:D$33=$A28)*1)=0,"",IF(SUMPRODUCT(('J1 - 18 sept'!D$4:D$33=$A28)*1)=1,INDEX('J1 - 18 sept'!$P$4:$P$33,MATCH($A28,'J1 - 18 sept'!D$4:D$33,0)),"⚠ CONFLIT")))</f>
        <v/>
      </c>
      <c r="E28" s="52" t="str">
        <f t="array" ref="E28">IF($A28="","",IF(SUMPRODUCT(('J1 - 18 sept'!E$4:E$33=$A28)*1)=0,"",IF(SUMPRODUCT(('J1 - 18 sept'!E$4:E$33=$A28)*1)=1,INDEX('J1 - 18 sept'!$P$4:$P$33,MATCH($A28,'J1 - 18 sept'!E$4:E$33,0)),"⚠ CONFLIT")))</f>
        <v/>
      </c>
      <c r="F28" s="52" t="str">
        <f t="array" ref="F28">IF($A28="","",IF(SUMPRODUCT(('J1 - 18 sept'!F$4:F$33=$A28)*1)=0,"",IF(SUMPRODUCT(('J1 - 18 sept'!F$4:F$33=$A28)*1)=1,INDEX('J1 - 18 sept'!$P$4:$P$33,MATCH($A28,'J1 - 18 sept'!F$4:F$33,0)),"⚠ CONFLIT")))</f>
        <v/>
      </c>
      <c r="G28" s="52" t="str">
        <f t="array" ref="G28">IF($A28="","",IF(SUMPRODUCT(('J1 - 18 sept'!G$4:G$33=$A28)*1)=0,"",IF(SUMPRODUCT(('J1 - 18 sept'!G$4:G$33=$A28)*1)=1,INDEX('J1 - 18 sept'!$P$4:$P$33,MATCH($A28,'J1 - 18 sept'!G$4:G$33,0)),"⚠ CONFLIT")))</f>
        <v/>
      </c>
      <c r="H28" s="52" t="str">
        <f t="array" ref="H28">IF($A28="","",IF(SUMPRODUCT(('J1 - 18 sept'!H$4:H$33=$A28)*1)=0,"",IF(SUMPRODUCT(('J1 - 18 sept'!H$4:H$33=$A28)*1)=1,INDEX('J1 - 18 sept'!$P$4:$P$33,MATCH($A28,'J1 - 18 sept'!H$4:H$33,0)),"⚠ CONFLIT")))</f>
        <v/>
      </c>
      <c r="I28" s="52" t="str">
        <f t="array" ref="I28">IF($A28="","",IF(SUMPRODUCT(('J1 - 18 sept'!I$4:I$33=$A28)*1)=0,"",IF(SUMPRODUCT(('J1 - 18 sept'!I$4:I$33=$A28)*1)=1,INDEX('J1 - 18 sept'!$P$4:$P$33,MATCH($A28,'J1 - 18 sept'!I$4:I$33,0)),"⚠ CONFLIT")))</f>
        <v/>
      </c>
      <c r="J28" s="52" t="str">
        <f t="array" ref="J28">IF($A28="","",IF(SUMPRODUCT(('J1 - 18 sept'!J$4:J$33=$A28)*1)=0,"",IF(SUMPRODUCT(('J1 - 18 sept'!J$4:J$33=$A28)*1)=1,INDEX('J1 - 18 sept'!$P$4:$P$33,MATCH($A28,'J1 - 18 sept'!J$4:J$33,0)),"⚠ CONFLIT")))</f>
        <v/>
      </c>
      <c r="K28" s="52" t="str">
        <f t="array" ref="K28">IF($A28="","",IF(SUMPRODUCT(('J1 - 18 sept'!K$4:K$33=$A28)*1)=0,"",IF(SUMPRODUCT(('J1 - 18 sept'!K$4:K$33=$A28)*1)=1,INDEX('J1 - 18 sept'!$P$4:$P$33,MATCH($A28,'J1 - 18 sept'!K$4:K$33,0)),"⚠ CONFLIT")))</f>
        <v/>
      </c>
      <c r="L28" s="52" t="str">
        <f t="array" ref="L28">IF($A28="","",IF(SUMPRODUCT(('J1 - 18 sept'!L$4:L$33=$A28)*1)=0,"",IF(SUMPRODUCT(('J1 - 18 sept'!L$4:L$33=$A28)*1)=1,INDEX('J1 - 18 sept'!$P$4:$P$33,MATCH($A28,'J1 - 18 sept'!L$4:L$33,0)),"⚠ CONFLIT")))</f>
        <v/>
      </c>
      <c r="M28" s="52" t="str">
        <f t="array" ref="M28">IF($A28="","",IF(SUMPRODUCT(('J1 - 18 sept'!M$4:M$33=$A28)*1)=0,"",IF(SUMPRODUCT(('J1 - 18 sept'!M$4:M$33=$A28)*1)=1,INDEX('J1 - 18 sept'!$P$4:$P$33,MATCH($A28,'J1 - 18 sept'!M$4:M$33,0)),"⚠ CONFLIT")))</f>
        <v/>
      </c>
      <c r="N28" s="52" t="str">
        <f t="array" ref="N28">IF($A28="","",IF(SUMPRODUCT(('J1 - 18 sept'!N$4:N$33=$A28)*1)=0,"",IF(SUMPRODUCT(('J1 - 18 sept'!N$4:N$33=$A28)*1)=1,INDEX('J1 - 18 sept'!$P$4:$P$33,MATCH($A28,'J1 - 18 sept'!N$4:N$33,0)),"⚠ CONFLIT")))</f>
        <v/>
      </c>
      <c r="P28" s="52" t="str">
        <f t="array" ref="P28">IF($A28="","",IF(SUMPRODUCT(('J2 - 19 sept'!C$4:C$33=$A28)*1)=0,"",IF(SUMPRODUCT(('J2 - 19 sept'!C$4:C$33=$A28)*1)=1,INDEX('J2 - 19 sept'!$P$4:$P$33,MATCH($A28,'J2 - 19 sept'!C$4:C$33,0)),"⚠ CONFLIT")))</f>
        <v/>
      </c>
      <c r="Q28" s="52" t="str">
        <f t="array" ref="Q28">IF($A28="","",IF(SUMPRODUCT(('J2 - 19 sept'!D$4:D$33=$A28)*1)=0,"",IF(SUMPRODUCT(('J2 - 19 sept'!D$4:D$33=$A28)*1)=1,INDEX('J2 - 19 sept'!$P$4:$P$33,MATCH($A28,'J2 - 19 sept'!D$4:D$33,0)),"⚠ CONFLIT")))</f>
        <v/>
      </c>
      <c r="R28" s="52" t="str">
        <f t="array" ref="R28">IF($A28="","",IF(SUMPRODUCT(('J2 - 19 sept'!E$4:E$33=$A28)*1)=0,"",IF(SUMPRODUCT(('J2 - 19 sept'!E$4:E$33=$A28)*1)=1,INDEX('J2 - 19 sept'!$P$4:$P$33,MATCH($A28,'J2 - 19 sept'!E$4:E$33,0)),"⚠ CONFLIT")))</f>
        <v/>
      </c>
      <c r="S28" s="52" t="str">
        <f t="array" ref="S28">IF($A28="","",IF(SUMPRODUCT(('J2 - 19 sept'!F$4:F$33=$A28)*1)=0,"",IF(SUMPRODUCT(('J2 - 19 sept'!F$4:F$33=$A28)*1)=1,INDEX('J2 - 19 sept'!$P$4:$P$33,MATCH($A28,'J2 - 19 sept'!F$4:F$33,0)),"⚠ CONFLIT")))</f>
        <v/>
      </c>
      <c r="T28" s="52" t="str">
        <f t="array" ref="T28">IF($A28="","",IF(SUMPRODUCT(('J2 - 19 sept'!G$4:G$33=$A28)*1)=0,"",IF(SUMPRODUCT(('J2 - 19 sept'!G$4:G$33=$A28)*1)=1,INDEX('J2 - 19 sept'!$P$4:$P$33,MATCH($A28,'J2 - 19 sept'!G$4:G$33,0)),"⚠ CONFLIT")))</f>
        <v/>
      </c>
      <c r="U28" s="52" t="str">
        <f t="array" ref="U28">IF($A28="","",IF(SUMPRODUCT(('J2 - 19 sept'!H$4:H$33=$A28)*1)=0,"",IF(SUMPRODUCT(('J2 - 19 sept'!H$4:H$33=$A28)*1)=1,INDEX('J2 - 19 sept'!$P$4:$P$33,MATCH($A28,'J2 - 19 sept'!H$4:H$33,0)),"⚠ CONFLIT")))</f>
        <v/>
      </c>
      <c r="V28" s="52" t="str">
        <f t="array" ref="V28">IF($A28="","",IF(SUMPRODUCT(('J2 - 19 sept'!I$4:I$33=$A28)*1)=0,"",IF(SUMPRODUCT(('J2 - 19 sept'!I$4:I$33=$A28)*1)=1,INDEX('J2 - 19 sept'!$P$4:$P$33,MATCH($A28,'J2 - 19 sept'!I$4:I$33,0)),"⚠ CONFLIT")))</f>
        <v/>
      </c>
      <c r="W28" s="52" t="str">
        <f t="array" ref="W28">IF($A28="","",IF(SUMPRODUCT(('J2 - 19 sept'!J$4:J$33=$A28)*1)=0,"",IF(SUMPRODUCT(('J2 - 19 sept'!J$4:J$33=$A28)*1)=1,INDEX('J2 - 19 sept'!$P$4:$P$33,MATCH($A28,'J2 - 19 sept'!J$4:J$33,0)),"⚠ CONFLIT")))</f>
        <v/>
      </c>
      <c r="X28" s="52" t="str">
        <f t="array" ref="X28">IF($A28="","",IF(SUMPRODUCT(('J2 - 19 sept'!K$4:K$33=$A28)*1)=0,"",IF(SUMPRODUCT(('J2 - 19 sept'!K$4:K$33=$A28)*1)=1,INDEX('J2 - 19 sept'!$P$4:$P$33,MATCH($A28,'J2 - 19 sept'!K$4:K$33,0)),"⚠ CONFLIT")))</f>
        <v/>
      </c>
      <c r="Y28" s="52" t="str">
        <f t="array" ref="Y28">IF($A28="","",IF(SUMPRODUCT(('J2 - 19 sept'!L$4:L$33=$A28)*1)=0,"",IF(SUMPRODUCT(('J2 - 19 sept'!L$4:L$33=$A28)*1)=1,INDEX('J2 - 19 sept'!$P$4:$P$33,MATCH($A28,'J2 - 19 sept'!L$4:L$33,0)),"⚠ CONFLIT")))</f>
        <v/>
      </c>
      <c r="Z28" s="52" t="str">
        <f t="array" ref="Z28">IF($A28="","",IF(SUMPRODUCT(('J2 - 19 sept'!M$4:M$33=$A28)*1)=0,"",IF(SUMPRODUCT(('J2 - 19 sept'!M$4:M$33=$A28)*1)=1,INDEX('J2 - 19 sept'!$P$4:$P$33,MATCH($A28,'J2 - 19 sept'!M$4:M$33,0)),"⚠ CONFLIT")))</f>
        <v/>
      </c>
      <c r="AA28" s="52" t="str">
        <f t="array" ref="AA28">IF($A28="","",IF(SUMPRODUCT(('J2 - 19 sept'!N$4:N$33=$A28)*1)=0,"",IF(SUMPRODUCT(('J2 - 19 sept'!N$4:N$33=$A28)*1)=1,INDEX('J2 - 19 sept'!$P$4:$P$33,MATCH($A28,'J2 - 19 sept'!N$4:N$33,0)),"⚠ CONFLIT")))</f>
        <v/>
      </c>
    </row>
    <row r="29" ht="15.75" customHeight="1">
      <c r="A29" s="50" t="str">
        <f>IF('Paramètres'!$B$39="","",'Paramètres'!$B$39)</f>
        <v/>
      </c>
      <c r="B29" s="51" t="str">
        <f>IF('Paramètres'!$C$39="","",'Paramètres'!$C$39)</f>
        <v/>
      </c>
      <c r="C29" s="52" t="str">
        <f t="array" ref="C29">IF($A29="","",IF(SUMPRODUCT(('J1 - 18 sept'!C$4:C$33=$A29)*1)=0,"",IF(SUMPRODUCT(('J1 - 18 sept'!C$4:C$33=$A29)*1)=1,INDEX('J1 - 18 sept'!$P$4:$P$33,MATCH($A29,'J1 - 18 sept'!C$4:C$33,0)),"⚠ CONFLIT")))</f>
        <v/>
      </c>
      <c r="D29" s="52" t="str">
        <f t="array" ref="D29">IF($A29="","",IF(SUMPRODUCT(('J1 - 18 sept'!D$4:D$33=$A29)*1)=0,"",IF(SUMPRODUCT(('J1 - 18 sept'!D$4:D$33=$A29)*1)=1,INDEX('J1 - 18 sept'!$P$4:$P$33,MATCH($A29,'J1 - 18 sept'!D$4:D$33,0)),"⚠ CONFLIT")))</f>
        <v/>
      </c>
      <c r="E29" s="52" t="str">
        <f t="array" ref="E29">IF($A29="","",IF(SUMPRODUCT(('J1 - 18 sept'!E$4:E$33=$A29)*1)=0,"",IF(SUMPRODUCT(('J1 - 18 sept'!E$4:E$33=$A29)*1)=1,INDEX('J1 - 18 sept'!$P$4:$P$33,MATCH($A29,'J1 - 18 sept'!E$4:E$33,0)),"⚠ CONFLIT")))</f>
        <v/>
      </c>
      <c r="F29" s="52" t="str">
        <f t="array" ref="F29">IF($A29="","",IF(SUMPRODUCT(('J1 - 18 sept'!F$4:F$33=$A29)*1)=0,"",IF(SUMPRODUCT(('J1 - 18 sept'!F$4:F$33=$A29)*1)=1,INDEX('J1 - 18 sept'!$P$4:$P$33,MATCH($A29,'J1 - 18 sept'!F$4:F$33,0)),"⚠ CONFLIT")))</f>
        <v/>
      </c>
      <c r="G29" s="52" t="str">
        <f t="array" ref="G29">IF($A29="","",IF(SUMPRODUCT(('J1 - 18 sept'!G$4:G$33=$A29)*1)=0,"",IF(SUMPRODUCT(('J1 - 18 sept'!G$4:G$33=$A29)*1)=1,INDEX('J1 - 18 sept'!$P$4:$P$33,MATCH($A29,'J1 - 18 sept'!G$4:G$33,0)),"⚠ CONFLIT")))</f>
        <v/>
      </c>
      <c r="H29" s="52" t="str">
        <f t="array" ref="H29">IF($A29="","",IF(SUMPRODUCT(('J1 - 18 sept'!H$4:H$33=$A29)*1)=0,"",IF(SUMPRODUCT(('J1 - 18 sept'!H$4:H$33=$A29)*1)=1,INDEX('J1 - 18 sept'!$P$4:$P$33,MATCH($A29,'J1 - 18 sept'!H$4:H$33,0)),"⚠ CONFLIT")))</f>
        <v/>
      </c>
      <c r="I29" s="52" t="str">
        <f t="array" ref="I29">IF($A29="","",IF(SUMPRODUCT(('J1 - 18 sept'!I$4:I$33=$A29)*1)=0,"",IF(SUMPRODUCT(('J1 - 18 sept'!I$4:I$33=$A29)*1)=1,INDEX('J1 - 18 sept'!$P$4:$P$33,MATCH($A29,'J1 - 18 sept'!I$4:I$33,0)),"⚠ CONFLIT")))</f>
        <v/>
      </c>
      <c r="J29" s="52" t="str">
        <f t="array" ref="J29">IF($A29="","",IF(SUMPRODUCT(('J1 - 18 sept'!J$4:J$33=$A29)*1)=0,"",IF(SUMPRODUCT(('J1 - 18 sept'!J$4:J$33=$A29)*1)=1,INDEX('J1 - 18 sept'!$P$4:$P$33,MATCH($A29,'J1 - 18 sept'!J$4:J$33,0)),"⚠ CONFLIT")))</f>
        <v/>
      </c>
      <c r="K29" s="52" t="str">
        <f t="array" ref="K29">IF($A29="","",IF(SUMPRODUCT(('J1 - 18 sept'!K$4:K$33=$A29)*1)=0,"",IF(SUMPRODUCT(('J1 - 18 sept'!K$4:K$33=$A29)*1)=1,INDEX('J1 - 18 sept'!$P$4:$P$33,MATCH($A29,'J1 - 18 sept'!K$4:K$33,0)),"⚠ CONFLIT")))</f>
        <v/>
      </c>
      <c r="L29" s="52" t="str">
        <f t="array" ref="L29">IF($A29="","",IF(SUMPRODUCT(('J1 - 18 sept'!L$4:L$33=$A29)*1)=0,"",IF(SUMPRODUCT(('J1 - 18 sept'!L$4:L$33=$A29)*1)=1,INDEX('J1 - 18 sept'!$P$4:$P$33,MATCH($A29,'J1 - 18 sept'!L$4:L$33,0)),"⚠ CONFLIT")))</f>
        <v/>
      </c>
      <c r="M29" s="52" t="str">
        <f t="array" ref="M29">IF($A29="","",IF(SUMPRODUCT(('J1 - 18 sept'!M$4:M$33=$A29)*1)=0,"",IF(SUMPRODUCT(('J1 - 18 sept'!M$4:M$33=$A29)*1)=1,INDEX('J1 - 18 sept'!$P$4:$P$33,MATCH($A29,'J1 - 18 sept'!M$4:M$33,0)),"⚠ CONFLIT")))</f>
        <v/>
      </c>
      <c r="N29" s="52" t="str">
        <f t="array" ref="N29">IF($A29="","",IF(SUMPRODUCT(('J1 - 18 sept'!N$4:N$33=$A29)*1)=0,"",IF(SUMPRODUCT(('J1 - 18 sept'!N$4:N$33=$A29)*1)=1,INDEX('J1 - 18 sept'!$P$4:$P$33,MATCH($A29,'J1 - 18 sept'!N$4:N$33,0)),"⚠ CONFLIT")))</f>
        <v/>
      </c>
      <c r="P29" s="52" t="str">
        <f t="array" ref="P29">IF($A29="","",IF(SUMPRODUCT(('J2 - 19 sept'!C$4:C$33=$A29)*1)=0,"",IF(SUMPRODUCT(('J2 - 19 sept'!C$4:C$33=$A29)*1)=1,INDEX('J2 - 19 sept'!$P$4:$P$33,MATCH($A29,'J2 - 19 sept'!C$4:C$33,0)),"⚠ CONFLIT")))</f>
        <v/>
      </c>
      <c r="Q29" s="52" t="str">
        <f t="array" ref="Q29">IF($A29="","",IF(SUMPRODUCT(('J2 - 19 sept'!D$4:D$33=$A29)*1)=0,"",IF(SUMPRODUCT(('J2 - 19 sept'!D$4:D$33=$A29)*1)=1,INDEX('J2 - 19 sept'!$P$4:$P$33,MATCH($A29,'J2 - 19 sept'!D$4:D$33,0)),"⚠ CONFLIT")))</f>
        <v/>
      </c>
      <c r="R29" s="52" t="str">
        <f t="array" ref="R29">IF($A29="","",IF(SUMPRODUCT(('J2 - 19 sept'!E$4:E$33=$A29)*1)=0,"",IF(SUMPRODUCT(('J2 - 19 sept'!E$4:E$33=$A29)*1)=1,INDEX('J2 - 19 sept'!$P$4:$P$33,MATCH($A29,'J2 - 19 sept'!E$4:E$33,0)),"⚠ CONFLIT")))</f>
        <v/>
      </c>
      <c r="S29" s="52" t="str">
        <f t="array" ref="S29">IF($A29="","",IF(SUMPRODUCT(('J2 - 19 sept'!F$4:F$33=$A29)*1)=0,"",IF(SUMPRODUCT(('J2 - 19 sept'!F$4:F$33=$A29)*1)=1,INDEX('J2 - 19 sept'!$P$4:$P$33,MATCH($A29,'J2 - 19 sept'!F$4:F$33,0)),"⚠ CONFLIT")))</f>
        <v/>
      </c>
      <c r="T29" s="52" t="str">
        <f t="array" ref="T29">IF($A29="","",IF(SUMPRODUCT(('J2 - 19 sept'!G$4:G$33=$A29)*1)=0,"",IF(SUMPRODUCT(('J2 - 19 sept'!G$4:G$33=$A29)*1)=1,INDEX('J2 - 19 sept'!$P$4:$P$33,MATCH($A29,'J2 - 19 sept'!G$4:G$33,0)),"⚠ CONFLIT")))</f>
        <v/>
      </c>
      <c r="U29" s="52" t="str">
        <f t="array" ref="U29">IF($A29="","",IF(SUMPRODUCT(('J2 - 19 sept'!H$4:H$33=$A29)*1)=0,"",IF(SUMPRODUCT(('J2 - 19 sept'!H$4:H$33=$A29)*1)=1,INDEX('J2 - 19 sept'!$P$4:$P$33,MATCH($A29,'J2 - 19 sept'!H$4:H$33,0)),"⚠ CONFLIT")))</f>
        <v/>
      </c>
      <c r="V29" s="52" t="str">
        <f t="array" ref="V29">IF($A29="","",IF(SUMPRODUCT(('J2 - 19 sept'!I$4:I$33=$A29)*1)=0,"",IF(SUMPRODUCT(('J2 - 19 sept'!I$4:I$33=$A29)*1)=1,INDEX('J2 - 19 sept'!$P$4:$P$33,MATCH($A29,'J2 - 19 sept'!I$4:I$33,0)),"⚠ CONFLIT")))</f>
        <v/>
      </c>
      <c r="W29" s="52" t="str">
        <f t="array" ref="W29">IF($A29="","",IF(SUMPRODUCT(('J2 - 19 sept'!J$4:J$33=$A29)*1)=0,"",IF(SUMPRODUCT(('J2 - 19 sept'!J$4:J$33=$A29)*1)=1,INDEX('J2 - 19 sept'!$P$4:$P$33,MATCH($A29,'J2 - 19 sept'!J$4:J$33,0)),"⚠ CONFLIT")))</f>
        <v/>
      </c>
      <c r="X29" s="52" t="str">
        <f t="array" ref="X29">IF($A29="","",IF(SUMPRODUCT(('J2 - 19 sept'!K$4:K$33=$A29)*1)=0,"",IF(SUMPRODUCT(('J2 - 19 sept'!K$4:K$33=$A29)*1)=1,INDEX('J2 - 19 sept'!$P$4:$P$33,MATCH($A29,'J2 - 19 sept'!K$4:K$33,0)),"⚠ CONFLIT")))</f>
        <v/>
      </c>
      <c r="Y29" s="52" t="str">
        <f t="array" ref="Y29">IF($A29="","",IF(SUMPRODUCT(('J2 - 19 sept'!L$4:L$33=$A29)*1)=0,"",IF(SUMPRODUCT(('J2 - 19 sept'!L$4:L$33=$A29)*1)=1,INDEX('J2 - 19 sept'!$P$4:$P$33,MATCH($A29,'J2 - 19 sept'!L$4:L$33,0)),"⚠ CONFLIT")))</f>
        <v/>
      </c>
      <c r="Z29" s="52" t="str">
        <f t="array" ref="Z29">IF($A29="","",IF(SUMPRODUCT(('J2 - 19 sept'!M$4:M$33=$A29)*1)=0,"",IF(SUMPRODUCT(('J2 - 19 sept'!M$4:M$33=$A29)*1)=1,INDEX('J2 - 19 sept'!$P$4:$P$33,MATCH($A29,'J2 - 19 sept'!M$4:M$33,0)),"⚠ CONFLIT")))</f>
        <v/>
      </c>
      <c r="AA29" s="52" t="str">
        <f t="array" ref="AA29">IF($A29="","",IF(SUMPRODUCT(('J2 - 19 sept'!N$4:N$33=$A29)*1)=0,"",IF(SUMPRODUCT(('J2 - 19 sept'!N$4:N$33=$A29)*1)=1,INDEX('J2 - 19 sept'!$P$4:$P$33,MATCH($A29,'J2 - 19 sept'!N$4:N$33,0)),"⚠ CONFLIT")))</f>
        <v/>
      </c>
    </row>
    <row r="30" ht="15.75" customHeight="1">
      <c r="A30" s="50" t="str">
        <f>IF('Paramètres'!$B$40="","",'Paramètres'!$B$40)</f>
        <v/>
      </c>
      <c r="B30" s="51" t="str">
        <f>IF('Paramètres'!$C$40="","",'Paramètres'!$C$40)</f>
        <v/>
      </c>
      <c r="C30" s="52" t="str">
        <f t="array" ref="C30">IF($A30="","",IF(SUMPRODUCT(('J1 - 18 sept'!C$4:C$33=$A30)*1)=0,"",IF(SUMPRODUCT(('J1 - 18 sept'!C$4:C$33=$A30)*1)=1,INDEX('J1 - 18 sept'!$P$4:$P$33,MATCH($A30,'J1 - 18 sept'!C$4:C$33,0)),"⚠ CONFLIT")))</f>
        <v/>
      </c>
      <c r="D30" s="52" t="str">
        <f t="array" ref="D30">IF($A30="","",IF(SUMPRODUCT(('J1 - 18 sept'!D$4:D$33=$A30)*1)=0,"",IF(SUMPRODUCT(('J1 - 18 sept'!D$4:D$33=$A30)*1)=1,INDEX('J1 - 18 sept'!$P$4:$P$33,MATCH($A30,'J1 - 18 sept'!D$4:D$33,0)),"⚠ CONFLIT")))</f>
        <v/>
      </c>
      <c r="E30" s="52" t="str">
        <f t="array" ref="E30">IF($A30="","",IF(SUMPRODUCT(('J1 - 18 sept'!E$4:E$33=$A30)*1)=0,"",IF(SUMPRODUCT(('J1 - 18 sept'!E$4:E$33=$A30)*1)=1,INDEX('J1 - 18 sept'!$P$4:$P$33,MATCH($A30,'J1 - 18 sept'!E$4:E$33,0)),"⚠ CONFLIT")))</f>
        <v/>
      </c>
      <c r="F30" s="52" t="str">
        <f t="array" ref="F30">IF($A30="","",IF(SUMPRODUCT(('J1 - 18 sept'!F$4:F$33=$A30)*1)=0,"",IF(SUMPRODUCT(('J1 - 18 sept'!F$4:F$33=$A30)*1)=1,INDEX('J1 - 18 sept'!$P$4:$P$33,MATCH($A30,'J1 - 18 sept'!F$4:F$33,0)),"⚠ CONFLIT")))</f>
        <v/>
      </c>
      <c r="G30" s="52" t="str">
        <f t="array" ref="G30">IF($A30="","",IF(SUMPRODUCT(('J1 - 18 sept'!G$4:G$33=$A30)*1)=0,"",IF(SUMPRODUCT(('J1 - 18 sept'!G$4:G$33=$A30)*1)=1,INDEX('J1 - 18 sept'!$P$4:$P$33,MATCH($A30,'J1 - 18 sept'!G$4:G$33,0)),"⚠ CONFLIT")))</f>
        <v/>
      </c>
      <c r="H30" s="52" t="str">
        <f t="array" ref="H30">IF($A30="","",IF(SUMPRODUCT(('J1 - 18 sept'!H$4:H$33=$A30)*1)=0,"",IF(SUMPRODUCT(('J1 - 18 sept'!H$4:H$33=$A30)*1)=1,INDEX('J1 - 18 sept'!$P$4:$P$33,MATCH($A30,'J1 - 18 sept'!H$4:H$33,0)),"⚠ CONFLIT")))</f>
        <v/>
      </c>
      <c r="I30" s="52" t="str">
        <f t="array" ref="I30">IF($A30="","",IF(SUMPRODUCT(('J1 - 18 sept'!I$4:I$33=$A30)*1)=0,"",IF(SUMPRODUCT(('J1 - 18 sept'!I$4:I$33=$A30)*1)=1,INDEX('J1 - 18 sept'!$P$4:$P$33,MATCH($A30,'J1 - 18 sept'!I$4:I$33,0)),"⚠ CONFLIT")))</f>
        <v/>
      </c>
      <c r="J30" s="52" t="str">
        <f t="array" ref="J30">IF($A30="","",IF(SUMPRODUCT(('J1 - 18 sept'!J$4:J$33=$A30)*1)=0,"",IF(SUMPRODUCT(('J1 - 18 sept'!J$4:J$33=$A30)*1)=1,INDEX('J1 - 18 sept'!$P$4:$P$33,MATCH($A30,'J1 - 18 sept'!J$4:J$33,0)),"⚠ CONFLIT")))</f>
        <v/>
      </c>
      <c r="K30" s="52" t="str">
        <f t="array" ref="K30">IF($A30="","",IF(SUMPRODUCT(('J1 - 18 sept'!K$4:K$33=$A30)*1)=0,"",IF(SUMPRODUCT(('J1 - 18 sept'!K$4:K$33=$A30)*1)=1,INDEX('J1 - 18 sept'!$P$4:$P$33,MATCH($A30,'J1 - 18 sept'!K$4:K$33,0)),"⚠ CONFLIT")))</f>
        <v/>
      </c>
      <c r="L30" s="52" t="str">
        <f t="array" ref="L30">IF($A30="","",IF(SUMPRODUCT(('J1 - 18 sept'!L$4:L$33=$A30)*1)=0,"",IF(SUMPRODUCT(('J1 - 18 sept'!L$4:L$33=$A30)*1)=1,INDEX('J1 - 18 sept'!$P$4:$P$33,MATCH($A30,'J1 - 18 sept'!L$4:L$33,0)),"⚠ CONFLIT")))</f>
        <v/>
      </c>
      <c r="M30" s="52" t="str">
        <f t="array" ref="M30">IF($A30="","",IF(SUMPRODUCT(('J1 - 18 sept'!M$4:M$33=$A30)*1)=0,"",IF(SUMPRODUCT(('J1 - 18 sept'!M$4:M$33=$A30)*1)=1,INDEX('J1 - 18 sept'!$P$4:$P$33,MATCH($A30,'J1 - 18 sept'!M$4:M$33,0)),"⚠ CONFLIT")))</f>
        <v/>
      </c>
      <c r="N30" s="52" t="str">
        <f t="array" ref="N30">IF($A30="","",IF(SUMPRODUCT(('J1 - 18 sept'!N$4:N$33=$A30)*1)=0,"",IF(SUMPRODUCT(('J1 - 18 sept'!N$4:N$33=$A30)*1)=1,INDEX('J1 - 18 sept'!$P$4:$P$33,MATCH($A30,'J1 - 18 sept'!N$4:N$33,0)),"⚠ CONFLIT")))</f>
        <v/>
      </c>
      <c r="P30" s="52" t="str">
        <f t="array" ref="P30">IF($A30="","",IF(SUMPRODUCT(('J2 - 19 sept'!C$4:C$33=$A30)*1)=0,"",IF(SUMPRODUCT(('J2 - 19 sept'!C$4:C$33=$A30)*1)=1,INDEX('J2 - 19 sept'!$P$4:$P$33,MATCH($A30,'J2 - 19 sept'!C$4:C$33,0)),"⚠ CONFLIT")))</f>
        <v/>
      </c>
      <c r="Q30" s="52" t="str">
        <f t="array" ref="Q30">IF($A30="","",IF(SUMPRODUCT(('J2 - 19 sept'!D$4:D$33=$A30)*1)=0,"",IF(SUMPRODUCT(('J2 - 19 sept'!D$4:D$33=$A30)*1)=1,INDEX('J2 - 19 sept'!$P$4:$P$33,MATCH($A30,'J2 - 19 sept'!D$4:D$33,0)),"⚠ CONFLIT")))</f>
        <v/>
      </c>
      <c r="R30" s="52" t="str">
        <f t="array" ref="R30">IF($A30="","",IF(SUMPRODUCT(('J2 - 19 sept'!E$4:E$33=$A30)*1)=0,"",IF(SUMPRODUCT(('J2 - 19 sept'!E$4:E$33=$A30)*1)=1,INDEX('J2 - 19 sept'!$P$4:$P$33,MATCH($A30,'J2 - 19 sept'!E$4:E$33,0)),"⚠ CONFLIT")))</f>
        <v/>
      </c>
      <c r="S30" s="52" t="str">
        <f t="array" ref="S30">IF($A30="","",IF(SUMPRODUCT(('J2 - 19 sept'!F$4:F$33=$A30)*1)=0,"",IF(SUMPRODUCT(('J2 - 19 sept'!F$4:F$33=$A30)*1)=1,INDEX('J2 - 19 sept'!$P$4:$P$33,MATCH($A30,'J2 - 19 sept'!F$4:F$33,0)),"⚠ CONFLIT")))</f>
        <v/>
      </c>
      <c r="T30" s="52" t="str">
        <f t="array" ref="T30">IF($A30="","",IF(SUMPRODUCT(('J2 - 19 sept'!G$4:G$33=$A30)*1)=0,"",IF(SUMPRODUCT(('J2 - 19 sept'!G$4:G$33=$A30)*1)=1,INDEX('J2 - 19 sept'!$P$4:$P$33,MATCH($A30,'J2 - 19 sept'!G$4:G$33,0)),"⚠ CONFLIT")))</f>
        <v/>
      </c>
      <c r="U30" s="52" t="str">
        <f t="array" ref="U30">IF($A30="","",IF(SUMPRODUCT(('J2 - 19 sept'!H$4:H$33=$A30)*1)=0,"",IF(SUMPRODUCT(('J2 - 19 sept'!H$4:H$33=$A30)*1)=1,INDEX('J2 - 19 sept'!$P$4:$P$33,MATCH($A30,'J2 - 19 sept'!H$4:H$33,0)),"⚠ CONFLIT")))</f>
        <v/>
      </c>
      <c r="V30" s="52" t="str">
        <f t="array" ref="V30">IF($A30="","",IF(SUMPRODUCT(('J2 - 19 sept'!I$4:I$33=$A30)*1)=0,"",IF(SUMPRODUCT(('J2 - 19 sept'!I$4:I$33=$A30)*1)=1,INDEX('J2 - 19 sept'!$P$4:$P$33,MATCH($A30,'J2 - 19 sept'!I$4:I$33,0)),"⚠ CONFLIT")))</f>
        <v/>
      </c>
      <c r="W30" s="52" t="str">
        <f t="array" ref="W30">IF($A30="","",IF(SUMPRODUCT(('J2 - 19 sept'!J$4:J$33=$A30)*1)=0,"",IF(SUMPRODUCT(('J2 - 19 sept'!J$4:J$33=$A30)*1)=1,INDEX('J2 - 19 sept'!$P$4:$P$33,MATCH($A30,'J2 - 19 sept'!J$4:J$33,0)),"⚠ CONFLIT")))</f>
        <v/>
      </c>
      <c r="X30" s="52" t="str">
        <f t="array" ref="X30">IF($A30="","",IF(SUMPRODUCT(('J2 - 19 sept'!K$4:K$33=$A30)*1)=0,"",IF(SUMPRODUCT(('J2 - 19 sept'!K$4:K$33=$A30)*1)=1,INDEX('J2 - 19 sept'!$P$4:$P$33,MATCH($A30,'J2 - 19 sept'!K$4:K$33,0)),"⚠ CONFLIT")))</f>
        <v/>
      </c>
      <c r="Y30" s="52" t="str">
        <f t="array" ref="Y30">IF($A30="","",IF(SUMPRODUCT(('J2 - 19 sept'!L$4:L$33=$A30)*1)=0,"",IF(SUMPRODUCT(('J2 - 19 sept'!L$4:L$33=$A30)*1)=1,INDEX('J2 - 19 sept'!$P$4:$P$33,MATCH($A30,'J2 - 19 sept'!L$4:L$33,0)),"⚠ CONFLIT")))</f>
        <v/>
      </c>
      <c r="Z30" s="52" t="str">
        <f t="array" ref="Z30">IF($A30="","",IF(SUMPRODUCT(('J2 - 19 sept'!M$4:M$33=$A30)*1)=0,"",IF(SUMPRODUCT(('J2 - 19 sept'!M$4:M$33=$A30)*1)=1,INDEX('J2 - 19 sept'!$P$4:$P$33,MATCH($A30,'J2 - 19 sept'!M$4:M$33,0)),"⚠ CONFLIT")))</f>
        <v/>
      </c>
      <c r="AA30" s="52" t="str">
        <f t="array" ref="AA30">IF($A30="","",IF(SUMPRODUCT(('J2 - 19 sept'!N$4:N$33=$A30)*1)=0,"",IF(SUMPRODUCT(('J2 - 19 sept'!N$4:N$33=$A30)*1)=1,INDEX('J2 - 19 sept'!$P$4:$P$33,MATCH($A30,'J2 - 19 sept'!N$4:N$33,0)),"⚠ CONFLIT")))</f>
        <v/>
      </c>
    </row>
    <row r="31" ht="15.75" customHeight="1">
      <c r="A31" s="50" t="str">
        <f>IF('Paramètres'!$B$41="","",'Paramètres'!$B$41)</f>
        <v/>
      </c>
      <c r="B31" s="51" t="str">
        <f>IF('Paramètres'!$C$41="","",'Paramètres'!$C$41)</f>
        <v/>
      </c>
      <c r="C31" s="52" t="str">
        <f t="array" ref="C31">IF($A31="","",IF(SUMPRODUCT(('J1 - 18 sept'!C$4:C$33=$A31)*1)=0,"",IF(SUMPRODUCT(('J1 - 18 sept'!C$4:C$33=$A31)*1)=1,INDEX('J1 - 18 sept'!$P$4:$P$33,MATCH($A31,'J1 - 18 sept'!C$4:C$33,0)),"⚠ CONFLIT")))</f>
        <v/>
      </c>
      <c r="D31" s="52" t="str">
        <f t="array" ref="D31">IF($A31="","",IF(SUMPRODUCT(('J1 - 18 sept'!D$4:D$33=$A31)*1)=0,"",IF(SUMPRODUCT(('J1 - 18 sept'!D$4:D$33=$A31)*1)=1,INDEX('J1 - 18 sept'!$P$4:$P$33,MATCH($A31,'J1 - 18 sept'!D$4:D$33,0)),"⚠ CONFLIT")))</f>
        <v/>
      </c>
      <c r="E31" s="52" t="str">
        <f t="array" ref="E31">IF($A31="","",IF(SUMPRODUCT(('J1 - 18 sept'!E$4:E$33=$A31)*1)=0,"",IF(SUMPRODUCT(('J1 - 18 sept'!E$4:E$33=$A31)*1)=1,INDEX('J1 - 18 sept'!$P$4:$P$33,MATCH($A31,'J1 - 18 sept'!E$4:E$33,0)),"⚠ CONFLIT")))</f>
        <v/>
      </c>
      <c r="F31" s="52" t="str">
        <f t="array" ref="F31">IF($A31="","",IF(SUMPRODUCT(('J1 - 18 sept'!F$4:F$33=$A31)*1)=0,"",IF(SUMPRODUCT(('J1 - 18 sept'!F$4:F$33=$A31)*1)=1,INDEX('J1 - 18 sept'!$P$4:$P$33,MATCH($A31,'J1 - 18 sept'!F$4:F$33,0)),"⚠ CONFLIT")))</f>
        <v/>
      </c>
      <c r="G31" s="52" t="str">
        <f t="array" ref="G31">IF($A31="","",IF(SUMPRODUCT(('J1 - 18 sept'!G$4:G$33=$A31)*1)=0,"",IF(SUMPRODUCT(('J1 - 18 sept'!G$4:G$33=$A31)*1)=1,INDEX('J1 - 18 sept'!$P$4:$P$33,MATCH($A31,'J1 - 18 sept'!G$4:G$33,0)),"⚠ CONFLIT")))</f>
        <v/>
      </c>
      <c r="H31" s="52" t="str">
        <f t="array" ref="H31">IF($A31="","",IF(SUMPRODUCT(('J1 - 18 sept'!H$4:H$33=$A31)*1)=0,"",IF(SUMPRODUCT(('J1 - 18 sept'!H$4:H$33=$A31)*1)=1,INDEX('J1 - 18 sept'!$P$4:$P$33,MATCH($A31,'J1 - 18 sept'!H$4:H$33,0)),"⚠ CONFLIT")))</f>
        <v/>
      </c>
      <c r="I31" s="52" t="str">
        <f t="array" ref="I31">IF($A31="","",IF(SUMPRODUCT(('J1 - 18 sept'!I$4:I$33=$A31)*1)=0,"",IF(SUMPRODUCT(('J1 - 18 sept'!I$4:I$33=$A31)*1)=1,INDEX('J1 - 18 sept'!$P$4:$P$33,MATCH($A31,'J1 - 18 sept'!I$4:I$33,0)),"⚠ CONFLIT")))</f>
        <v/>
      </c>
      <c r="J31" s="52" t="str">
        <f t="array" ref="J31">IF($A31="","",IF(SUMPRODUCT(('J1 - 18 sept'!J$4:J$33=$A31)*1)=0,"",IF(SUMPRODUCT(('J1 - 18 sept'!J$4:J$33=$A31)*1)=1,INDEX('J1 - 18 sept'!$P$4:$P$33,MATCH($A31,'J1 - 18 sept'!J$4:J$33,0)),"⚠ CONFLIT")))</f>
        <v/>
      </c>
      <c r="K31" s="52" t="str">
        <f t="array" ref="K31">IF($A31="","",IF(SUMPRODUCT(('J1 - 18 sept'!K$4:K$33=$A31)*1)=0,"",IF(SUMPRODUCT(('J1 - 18 sept'!K$4:K$33=$A31)*1)=1,INDEX('J1 - 18 sept'!$P$4:$P$33,MATCH($A31,'J1 - 18 sept'!K$4:K$33,0)),"⚠ CONFLIT")))</f>
        <v/>
      </c>
      <c r="L31" s="52" t="str">
        <f t="array" ref="L31">IF($A31="","",IF(SUMPRODUCT(('J1 - 18 sept'!L$4:L$33=$A31)*1)=0,"",IF(SUMPRODUCT(('J1 - 18 sept'!L$4:L$33=$A31)*1)=1,INDEX('J1 - 18 sept'!$P$4:$P$33,MATCH($A31,'J1 - 18 sept'!L$4:L$33,0)),"⚠ CONFLIT")))</f>
        <v/>
      </c>
      <c r="M31" s="52" t="str">
        <f t="array" ref="M31">IF($A31="","",IF(SUMPRODUCT(('J1 - 18 sept'!M$4:M$33=$A31)*1)=0,"",IF(SUMPRODUCT(('J1 - 18 sept'!M$4:M$33=$A31)*1)=1,INDEX('J1 - 18 sept'!$P$4:$P$33,MATCH($A31,'J1 - 18 sept'!M$4:M$33,0)),"⚠ CONFLIT")))</f>
        <v/>
      </c>
      <c r="N31" s="52" t="str">
        <f t="array" ref="N31">IF($A31="","",IF(SUMPRODUCT(('J1 - 18 sept'!N$4:N$33=$A31)*1)=0,"",IF(SUMPRODUCT(('J1 - 18 sept'!N$4:N$33=$A31)*1)=1,INDEX('J1 - 18 sept'!$P$4:$P$33,MATCH($A31,'J1 - 18 sept'!N$4:N$33,0)),"⚠ CONFLIT")))</f>
        <v/>
      </c>
      <c r="P31" s="52" t="str">
        <f t="array" ref="P31">IF($A31="","",IF(SUMPRODUCT(('J2 - 19 sept'!C$4:C$33=$A31)*1)=0,"",IF(SUMPRODUCT(('J2 - 19 sept'!C$4:C$33=$A31)*1)=1,INDEX('J2 - 19 sept'!$P$4:$P$33,MATCH($A31,'J2 - 19 sept'!C$4:C$33,0)),"⚠ CONFLIT")))</f>
        <v/>
      </c>
      <c r="Q31" s="52" t="str">
        <f t="array" ref="Q31">IF($A31="","",IF(SUMPRODUCT(('J2 - 19 sept'!D$4:D$33=$A31)*1)=0,"",IF(SUMPRODUCT(('J2 - 19 sept'!D$4:D$33=$A31)*1)=1,INDEX('J2 - 19 sept'!$P$4:$P$33,MATCH($A31,'J2 - 19 sept'!D$4:D$33,0)),"⚠ CONFLIT")))</f>
        <v/>
      </c>
      <c r="R31" s="52" t="str">
        <f t="array" ref="R31">IF($A31="","",IF(SUMPRODUCT(('J2 - 19 sept'!E$4:E$33=$A31)*1)=0,"",IF(SUMPRODUCT(('J2 - 19 sept'!E$4:E$33=$A31)*1)=1,INDEX('J2 - 19 sept'!$P$4:$P$33,MATCH($A31,'J2 - 19 sept'!E$4:E$33,0)),"⚠ CONFLIT")))</f>
        <v/>
      </c>
      <c r="S31" s="52" t="str">
        <f t="array" ref="S31">IF($A31="","",IF(SUMPRODUCT(('J2 - 19 sept'!F$4:F$33=$A31)*1)=0,"",IF(SUMPRODUCT(('J2 - 19 sept'!F$4:F$33=$A31)*1)=1,INDEX('J2 - 19 sept'!$P$4:$P$33,MATCH($A31,'J2 - 19 sept'!F$4:F$33,0)),"⚠ CONFLIT")))</f>
        <v/>
      </c>
      <c r="T31" s="52" t="str">
        <f t="array" ref="T31">IF($A31="","",IF(SUMPRODUCT(('J2 - 19 sept'!G$4:G$33=$A31)*1)=0,"",IF(SUMPRODUCT(('J2 - 19 sept'!G$4:G$33=$A31)*1)=1,INDEX('J2 - 19 sept'!$P$4:$P$33,MATCH($A31,'J2 - 19 sept'!G$4:G$33,0)),"⚠ CONFLIT")))</f>
        <v/>
      </c>
      <c r="U31" s="52" t="str">
        <f t="array" ref="U31">IF($A31="","",IF(SUMPRODUCT(('J2 - 19 sept'!H$4:H$33=$A31)*1)=0,"",IF(SUMPRODUCT(('J2 - 19 sept'!H$4:H$33=$A31)*1)=1,INDEX('J2 - 19 sept'!$P$4:$P$33,MATCH($A31,'J2 - 19 sept'!H$4:H$33,0)),"⚠ CONFLIT")))</f>
        <v/>
      </c>
      <c r="V31" s="52" t="str">
        <f t="array" ref="V31">IF($A31="","",IF(SUMPRODUCT(('J2 - 19 sept'!I$4:I$33=$A31)*1)=0,"",IF(SUMPRODUCT(('J2 - 19 sept'!I$4:I$33=$A31)*1)=1,INDEX('J2 - 19 sept'!$P$4:$P$33,MATCH($A31,'J2 - 19 sept'!I$4:I$33,0)),"⚠ CONFLIT")))</f>
        <v/>
      </c>
      <c r="W31" s="52" t="str">
        <f t="array" ref="W31">IF($A31="","",IF(SUMPRODUCT(('J2 - 19 sept'!J$4:J$33=$A31)*1)=0,"",IF(SUMPRODUCT(('J2 - 19 sept'!J$4:J$33=$A31)*1)=1,INDEX('J2 - 19 sept'!$P$4:$P$33,MATCH($A31,'J2 - 19 sept'!J$4:J$33,0)),"⚠ CONFLIT")))</f>
        <v/>
      </c>
      <c r="X31" s="52" t="str">
        <f t="array" ref="X31">IF($A31="","",IF(SUMPRODUCT(('J2 - 19 sept'!K$4:K$33=$A31)*1)=0,"",IF(SUMPRODUCT(('J2 - 19 sept'!K$4:K$33=$A31)*1)=1,INDEX('J2 - 19 sept'!$P$4:$P$33,MATCH($A31,'J2 - 19 sept'!K$4:K$33,0)),"⚠ CONFLIT")))</f>
        <v/>
      </c>
      <c r="Y31" s="52" t="str">
        <f t="array" ref="Y31">IF($A31="","",IF(SUMPRODUCT(('J2 - 19 sept'!L$4:L$33=$A31)*1)=0,"",IF(SUMPRODUCT(('J2 - 19 sept'!L$4:L$33=$A31)*1)=1,INDEX('J2 - 19 sept'!$P$4:$P$33,MATCH($A31,'J2 - 19 sept'!L$4:L$33,0)),"⚠ CONFLIT")))</f>
        <v/>
      </c>
      <c r="Z31" s="52" t="str">
        <f t="array" ref="Z31">IF($A31="","",IF(SUMPRODUCT(('J2 - 19 sept'!M$4:M$33=$A31)*1)=0,"",IF(SUMPRODUCT(('J2 - 19 sept'!M$4:M$33=$A31)*1)=1,INDEX('J2 - 19 sept'!$P$4:$P$33,MATCH($A31,'J2 - 19 sept'!M$4:M$33,0)),"⚠ CONFLIT")))</f>
        <v/>
      </c>
      <c r="AA31" s="52" t="str">
        <f t="array" ref="AA31">IF($A31="","",IF(SUMPRODUCT(('J2 - 19 sept'!N$4:N$33=$A31)*1)=0,"",IF(SUMPRODUCT(('J2 - 19 sept'!N$4:N$33=$A31)*1)=1,INDEX('J2 - 19 sept'!$P$4:$P$33,MATCH($A31,'J2 - 19 sept'!N$4:N$33,0)),"⚠ CONFLIT")))</f>
        <v/>
      </c>
    </row>
    <row r="32" ht="15.75" customHeight="1">
      <c r="A32" s="50" t="str">
        <f>IF('Paramètres'!$B$42="","",'Paramètres'!$B$42)</f>
        <v/>
      </c>
      <c r="B32" s="51" t="str">
        <f>IF('Paramètres'!$C$42="","",'Paramètres'!$C$42)</f>
        <v/>
      </c>
      <c r="C32" s="52" t="str">
        <f t="array" ref="C32">IF($A32="","",IF(SUMPRODUCT(('J1 - 18 sept'!C$4:C$33=$A32)*1)=0,"",IF(SUMPRODUCT(('J1 - 18 sept'!C$4:C$33=$A32)*1)=1,INDEX('J1 - 18 sept'!$P$4:$P$33,MATCH($A32,'J1 - 18 sept'!C$4:C$33,0)),"⚠ CONFLIT")))</f>
        <v/>
      </c>
      <c r="D32" s="52" t="str">
        <f t="array" ref="D32">IF($A32="","",IF(SUMPRODUCT(('J1 - 18 sept'!D$4:D$33=$A32)*1)=0,"",IF(SUMPRODUCT(('J1 - 18 sept'!D$4:D$33=$A32)*1)=1,INDEX('J1 - 18 sept'!$P$4:$P$33,MATCH($A32,'J1 - 18 sept'!D$4:D$33,0)),"⚠ CONFLIT")))</f>
        <v/>
      </c>
      <c r="E32" s="52" t="str">
        <f t="array" ref="E32">IF($A32="","",IF(SUMPRODUCT(('J1 - 18 sept'!E$4:E$33=$A32)*1)=0,"",IF(SUMPRODUCT(('J1 - 18 sept'!E$4:E$33=$A32)*1)=1,INDEX('J1 - 18 sept'!$P$4:$P$33,MATCH($A32,'J1 - 18 sept'!E$4:E$33,0)),"⚠ CONFLIT")))</f>
        <v/>
      </c>
      <c r="F32" s="52" t="str">
        <f t="array" ref="F32">IF($A32="","",IF(SUMPRODUCT(('J1 - 18 sept'!F$4:F$33=$A32)*1)=0,"",IF(SUMPRODUCT(('J1 - 18 sept'!F$4:F$33=$A32)*1)=1,INDEX('J1 - 18 sept'!$P$4:$P$33,MATCH($A32,'J1 - 18 sept'!F$4:F$33,0)),"⚠ CONFLIT")))</f>
        <v/>
      </c>
      <c r="G32" s="52" t="str">
        <f t="array" ref="G32">IF($A32="","",IF(SUMPRODUCT(('J1 - 18 sept'!G$4:G$33=$A32)*1)=0,"",IF(SUMPRODUCT(('J1 - 18 sept'!G$4:G$33=$A32)*1)=1,INDEX('J1 - 18 sept'!$P$4:$P$33,MATCH($A32,'J1 - 18 sept'!G$4:G$33,0)),"⚠ CONFLIT")))</f>
        <v/>
      </c>
      <c r="H32" s="52" t="str">
        <f t="array" ref="H32">IF($A32="","",IF(SUMPRODUCT(('J1 - 18 sept'!H$4:H$33=$A32)*1)=0,"",IF(SUMPRODUCT(('J1 - 18 sept'!H$4:H$33=$A32)*1)=1,INDEX('J1 - 18 sept'!$P$4:$P$33,MATCH($A32,'J1 - 18 sept'!H$4:H$33,0)),"⚠ CONFLIT")))</f>
        <v/>
      </c>
      <c r="I32" s="52" t="str">
        <f t="array" ref="I32">IF($A32="","",IF(SUMPRODUCT(('J1 - 18 sept'!I$4:I$33=$A32)*1)=0,"",IF(SUMPRODUCT(('J1 - 18 sept'!I$4:I$33=$A32)*1)=1,INDEX('J1 - 18 sept'!$P$4:$P$33,MATCH($A32,'J1 - 18 sept'!I$4:I$33,0)),"⚠ CONFLIT")))</f>
        <v/>
      </c>
      <c r="J32" s="52" t="str">
        <f t="array" ref="J32">IF($A32="","",IF(SUMPRODUCT(('J1 - 18 sept'!J$4:J$33=$A32)*1)=0,"",IF(SUMPRODUCT(('J1 - 18 sept'!J$4:J$33=$A32)*1)=1,INDEX('J1 - 18 sept'!$P$4:$P$33,MATCH($A32,'J1 - 18 sept'!J$4:J$33,0)),"⚠ CONFLIT")))</f>
        <v/>
      </c>
      <c r="K32" s="52" t="str">
        <f t="array" ref="K32">IF($A32="","",IF(SUMPRODUCT(('J1 - 18 sept'!K$4:K$33=$A32)*1)=0,"",IF(SUMPRODUCT(('J1 - 18 sept'!K$4:K$33=$A32)*1)=1,INDEX('J1 - 18 sept'!$P$4:$P$33,MATCH($A32,'J1 - 18 sept'!K$4:K$33,0)),"⚠ CONFLIT")))</f>
        <v/>
      </c>
      <c r="L32" s="52" t="str">
        <f t="array" ref="L32">IF($A32="","",IF(SUMPRODUCT(('J1 - 18 sept'!L$4:L$33=$A32)*1)=0,"",IF(SUMPRODUCT(('J1 - 18 sept'!L$4:L$33=$A32)*1)=1,INDEX('J1 - 18 sept'!$P$4:$P$33,MATCH($A32,'J1 - 18 sept'!L$4:L$33,0)),"⚠ CONFLIT")))</f>
        <v/>
      </c>
      <c r="M32" s="52" t="str">
        <f t="array" ref="M32">IF($A32="","",IF(SUMPRODUCT(('J1 - 18 sept'!M$4:M$33=$A32)*1)=0,"",IF(SUMPRODUCT(('J1 - 18 sept'!M$4:M$33=$A32)*1)=1,INDEX('J1 - 18 sept'!$P$4:$P$33,MATCH($A32,'J1 - 18 sept'!M$4:M$33,0)),"⚠ CONFLIT")))</f>
        <v/>
      </c>
      <c r="N32" s="52" t="str">
        <f t="array" ref="N32">IF($A32="","",IF(SUMPRODUCT(('J1 - 18 sept'!N$4:N$33=$A32)*1)=0,"",IF(SUMPRODUCT(('J1 - 18 sept'!N$4:N$33=$A32)*1)=1,INDEX('J1 - 18 sept'!$P$4:$P$33,MATCH($A32,'J1 - 18 sept'!N$4:N$33,0)),"⚠ CONFLIT")))</f>
        <v/>
      </c>
      <c r="P32" s="52" t="str">
        <f t="array" ref="P32">IF($A32="","",IF(SUMPRODUCT(('J2 - 19 sept'!C$4:C$33=$A32)*1)=0,"",IF(SUMPRODUCT(('J2 - 19 sept'!C$4:C$33=$A32)*1)=1,INDEX('J2 - 19 sept'!$P$4:$P$33,MATCH($A32,'J2 - 19 sept'!C$4:C$33,0)),"⚠ CONFLIT")))</f>
        <v/>
      </c>
      <c r="Q32" s="52" t="str">
        <f t="array" ref="Q32">IF($A32="","",IF(SUMPRODUCT(('J2 - 19 sept'!D$4:D$33=$A32)*1)=0,"",IF(SUMPRODUCT(('J2 - 19 sept'!D$4:D$33=$A32)*1)=1,INDEX('J2 - 19 sept'!$P$4:$P$33,MATCH($A32,'J2 - 19 sept'!D$4:D$33,0)),"⚠ CONFLIT")))</f>
        <v/>
      </c>
      <c r="R32" s="52" t="str">
        <f t="array" ref="R32">IF($A32="","",IF(SUMPRODUCT(('J2 - 19 sept'!E$4:E$33=$A32)*1)=0,"",IF(SUMPRODUCT(('J2 - 19 sept'!E$4:E$33=$A32)*1)=1,INDEX('J2 - 19 sept'!$P$4:$P$33,MATCH($A32,'J2 - 19 sept'!E$4:E$33,0)),"⚠ CONFLIT")))</f>
        <v/>
      </c>
      <c r="S32" s="52" t="str">
        <f t="array" ref="S32">IF($A32="","",IF(SUMPRODUCT(('J2 - 19 sept'!F$4:F$33=$A32)*1)=0,"",IF(SUMPRODUCT(('J2 - 19 sept'!F$4:F$33=$A32)*1)=1,INDEX('J2 - 19 sept'!$P$4:$P$33,MATCH($A32,'J2 - 19 sept'!F$4:F$33,0)),"⚠ CONFLIT")))</f>
        <v/>
      </c>
      <c r="T32" s="52" t="str">
        <f t="array" ref="T32">IF($A32="","",IF(SUMPRODUCT(('J2 - 19 sept'!G$4:G$33=$A32)*1)=0,"",IF(SUMPRODUCT(('J2 - 19 sept'!G$4:G$33=$A32)*1)=1,INDEX('J2 - 19 sept'!$P$4:$P$33,MATCH($A32,'J2 - 19 sept'!G$4:G$33,0)),"⚠ CONFLIT")))</f>
        <v/>
      </c>
      <c r="U32" s="52" t="str">
        <f t="array" ref="U32">IF($A32="","",IF(SUMPRODUCT(('J2 - 19 sept'!H$4:H$33=$A32)*1)=0,"",IF(SUMPRODUCT(('J2 - 19 sept'!H$4:H$33=$A32)*1)=1,INDEX('J2 - 19 sept'!$P$4:$P$33,MATCH($A32,'J2 - 19 sept'!H$4:H$33,0)),"⚠ CONFLIT")))</f>
        <v/>
      </c>
      <c r="V32" s="52" t="str">
        <f t="array" ref="V32">IF($A32="","",IF(SUMPRODUCT(('J2 - 19 sept'!I$4:I$33=$A32)*1)=0,"",IF(SUMPRODUCT(('J2 - 19 sept'!I$4:I$33=$A32)*1)=1,INDEX('J2 - 19 sept'!$P$4:$P$33,MATCH($A32,'J2 - 19 sept'!I$4:I$33,0)),"⚠ CONFLIT")))</f>
        <v/>
      </c>
      <c r="W32" s="52" t="str">
        <f t="array" ref="W32">IF($A32="","",IF(SUMPRODUCT(('J2 - 19 sept'!J$4:J$33=$A32)*1)=0,"",IF(SUMPRODUCT(('J2 - 19 sept'!J$4:J$33=$A32)*1)=1,INDEX('J2 - 19 sept'!$P$4:$P$33,MATCH($A32,'J2 - 19 sept'!J$4:J$33,0)),"⚠ CONFLIT")))</f>
        <v/>
      </c>
      <c r="X32" s="52" t="str">
        <f t="array" ref="X32">IF($A32="","",IF(SUMPRODUCT(('J2 - 19 sept'!K$4:K$33=$A32)*1)=0,"",IF(SUMPRODUCT(('J2 - 19 sept'!K$4:K$33=$A32)*1)=1,INDEX('J2 - 19 sept'!$P$4:$P$33,MATCH($A32,'J2 - 19 sept'!K$4:K$33,0)),"⚠ CONFLIT")))</f>
        <v/>
      </c>
      <c r="Y32" s="52" t="str">
        <f t="array" ref="Y32">IF($A32="","",IF(SUMPRODUCT(('J2 - 19 sept'!L$4:L$33=$A32)*1)=0,"",IF(SUMPRODUCT(('J2 - 19 sept'!L$4:L$33=$A32)*1)=1,INDEX('J2 - 19 sept'!$P$4:$P$33,MATCH($A32,'J2 - 19 sept'!L$4:L$33,0)),"⚠ CONFLIT")))</f>
        <v/>
      </c>
      <c r="Z32" s="52" t="str">
        <f t="array" ref="Z32">IF($A32="","",IF(SUMPRODUCT(('J2 - 19 sept'!M$4:M$33=$A32)*1)=0,"",IF(SUMPRODUCT(('J2 - 19 sept'!M$4:M$33=$A32)*1)=1,INDEX('J2 - 19 sept'!$P$4:$P$33,MATCH($A32,'J2 - 19 sept'!M$4:M$33,0)),"⚠ CONFLIT")))</f>
        <v/>
      </c>
      <c r="AA32" s="52" t="str">
        <f t="array" ref="AA32">IF($A32="","",IF(SUMPRODUCT(('J2 - 19 sept'!N$4:N$33=$A32)*1)=0,"",IF(SUMPRODUCT(('J2 - 19 sept'!N$4:N$33=$A32)*1)=1,INDEX('J2 - 19 sept'!$P$4:$P$33,MATCH($A32,'J2 - 19 sept'!N$4:N$33,0)),"⚠ CONFLIT")))</f>
        <v/>
      </c>
    </row>
    <row r="33" ht="15.75" customHeight="1">
      <c r="A33" s="50" t="str">
        <f>IF('Paramètres'!$B$43="","",'Paramètres'!$B$43)</f>
        <v/>
      </c>
      <c r="B33" s="51" t="str">
        <f>IF('Paramètres'!$C$43="","",'Paramètres'!$C$43)</f>
        <v/>
      </c>
      <c r="C33" s="52" t="str">
        <f t="array" ref="C33">IF($A33="","",IF(SUMPRODUCT(('J1 - 18 sept'!C$4:C$33=$A33)*1)=0,"",IF(SUMPRODUCT(('J1 - 18 sept'!C$4:C$33=$A33)*1)=1,INDEX('J1 - 18 sept'!$P$4:$P$33,MATCH($A33,'J1 - 18 sept'!C$4:C$33,0)),"⚠ CONFLIT")))</f>
        <v/>
      </c>
      <c r="D33" s="52" t="str">
        <f t="array" ref="D33">IF($A33="","",IF(SUMPRODUCT(('J1 - 18 sept'!D$4:D$33=$A33)*1)=0,"",IF(SUMPRODUCT(('J1 - 18 sept'!D$4:D$33=$A33)*1)=1,INDEX('J1 - 18 sept'!$P$4:$P$33,MATCH($A33,'J1 - 18 sept'!D$4:D$33,0)),"⚠ CONFLIT")))</f>
        <v/>
      </c>
      <c r="E33" s="52" t="str">
        <f t="array" ref="E33">IF($A33="","",IF(SUMPRODUCT(('J1 - 18 sept'!E$4:E$33=$A33)*1)=0,"",IF(SUMPRODUCT(('J1 - 18 sept'!E$4:E$33=$A33)*1)=1,INDEX('J1 - 18 sept'!$P$4:$P$33,MATCH($A33,'J1 - 18 sept'!E$4:E$33,0)),"⚠ CONFLIT")))</f>
        <v/>
      </c>
      <c r="F33" s="52" t="str">
        <f t="array" ref="F33">IF($A33="","",IF(SUMPRODUCT(('J1 - 18 sept'!F$4:F$33=$A33)*1)=0,"",IF(SUMPRODUCT(('J1 - 18 sept'!F$4:F$33=$A33)*1)=1,INDEX('J1 - 18 sept'!$P$4:$P$33,MATCH($A33,'J1 - 18 sept'!F$4:F$33,0)),"⚠ CONFLIT")))</f>
        <v/>
      </c>
      <c r="G33" s="52" t="str">
        <f t="array" ref="G33">IF($A33="","",IF(SUMPRODUCT(('J1 - 18 sept'!G$4:G$33=$A33)*1)=0,"",IF(SUMPRODUCT(('J1 - 18 sept'!G$4:G$33=$A33)*1)=1,INDEX('J1 - 18 sept'!$P$4:$P$33,MATCH($A33,'J1 - 18 sept'!G$4:G$33,0)),"⚠ CONFLIT")))</f>
        <v/>
      </c>
      <c r="H33" s="52" t="str">
        <f t="array" ref="H33">IF($A33="","",IF(SUMPRODUCT(('J1 - 18 sept'!H$4:H$33=$A33)*1)=0,"",IF(SUMPRODUCT(('J1 - 18 sept'!H$4:H$33=$A33)*1)=1,INDEX('J1 - 18 sept'!$P$4:$P$33,MATCH($A33,'J1 - 18 sept'!H$4:H$33,0)),"⚠ CONFLIT")))</f>
        <v/>
      </c>
      <c r="I33" s="52" t="str">
        <f t="array" ref="I33">IF($A33="","",IF(SUMPRODUCT(('J1 - 18 sept'!I$4:I$33=$A33)*1)=0,"",IF(SUMPRODUCT(('J1 - 18 sept'!I$4:I$33=$A33)*1)=1,INDEX('J1 - 18 sept'!$P$4:$P$33,MATCH($A33,'J1 - 18 sept'!I$4:I$33,0)),"⚠ CONFLIT")))</f>
        <v/>
      </c>
      <c r="J33" s="52" t="str">
        <f t="array" ref="J33">IF($A33="","",IF(SUMPRODUCT(('J1 - 18 sept'!J$4:J$33=$A33)*1)=0,"",IF(SUMPRODUCT(('J1 - 18 sept'!J$4:J$33=$A33)*1)=1,INDEX('J1 - 18 sept'!$P$4:$P$33,MATCH($A33,'J1 - 18 sept'!J$4:J$33,0)),"⚠ CONFLIT")))</f>
        <v/>
      </c>
      <c r="K33" s="52" t="str">
        <f t="array" ref="K33">IF($A33="","",IF(SUMPRODUCT(('J1 - 18 sept'!K$4:K$33=$A33)*1)=0,"",IF(SUMPRODUCT(('J1 - 18 sept'!K$4:K$33=$A33)*1)=1,INDEX('J1 - 18 sept'!$P$4:$P$33,MATCH($A33,'J1 - 18 sept'!K$4:K$33,0)),"⚠ CONFLIT")))</f>
        <v/>
      </c>
      <c r="L33" s="52" t="str">
        <f t="array" ref="L33">IF($A33="","",IF(SUMPRODUCT(('J1 - 18 sept'!L$4:L$33=$A33)*1)=0,"",IF(SUMPRODUCT(('J1 - 18 sept'!L$4:L$33=$A33)*1)=1,INDEX('J1 - 18 sept'!$P$4:$P$33,MATCH($A33,'J1 - 18 sept'!L$4:L$33,0)),"⚠ CONFLIT")))</f>
        <v/>
      </c>
      <c r="M33" s="52" t="str">
        <f t="array" ref="M33">IF($A33="","",IF(SUMPRODUCT(('J1 - 18 sept'!M$4:M$33=$A33)*1)=0,"",IF(SUMPRODUCT(('J1 - 18 sept'!M$4:M$33=$A33)*1)=1,INDEX('J1 - 18 sept'!$P$4:$P$33,MATCH($A33,'J1 - 18 sept'!M$4:M$33,0)),"⚠ CONFLIT")))</f>
        <v/>
      </c>
      <c r="N33" s="52" t="str">
        <f t="array" ref="N33">IF($A33="","",IF(SUMPRODUCT(('J1 - 18 sept'!N$4:N$33=$A33)*1)=0,"",IF(SUMPRODUCT(('J1 - 18 sept'!N$4:N$33=$A33)*1)=1,INDEX('J1 - 18 sept'!$P$4:$P$33,MATCH($A33,'J1 - 18 sept'!N$4:N$33,0)),"⚠ CONFLIT")))</f>
        <v/>
      </c>
      <c r="P33" s="52" t="str">
        <f t="array" ref="P33">IF($A33="","",IF(SUMPRODUCT(('J2 - 19 sept'!C$4:C$33=$A33)*1)=0,"",IF(SUMPRODUCT(('J2 - 19 sept'!C$4:C$33=$A33)*1)=1,INDEX('J2 - 19 sept'!$P$4:$P$33,MATCH($A33,'J2 - 19 sept'!C$4:C$33,0)),"⚠ CONFLIT")))</f>
        <v/>
      </c>
      <c r="Q33" s="52" t="str">
        <f t="array" ref="Q33">IF($A33="","",IF(SUMPRODUCT(('J2 - 19 sept'!D$4:D$33=$A33)*1)=0,"",IF(SUMPRODUCT(('J2 - 19 sept'!D$4:D$33=$A33)*1)=1,INDEX('J2 - 19 sept'!$P$4:$P$33,MATCH($A33,'J2 - 19 sept'!D$4:D$33,0)),"⚠ CONFLIT")))</f>
        <v/>
      </c>
      <c r="R33" s="52" t="str">
        <f t="array" ref="R33">IF($A33="","",IF(SUMPRODUCT(('J2 - 19 sept'!E$4:E$33=$A33)*1)=0,"",IF(SUMPRODUCT(('J2 - 19 sept'!E$4:E$33=$A33)*1)=1,INDEX('J2 - 19 sept'!$P$4:$P$33,MATCH($A33,'J2 - 19 sept'!E$4:E$33,0)),"⚠ CONFLIT")))</f>
        <v/>
      </c>
      <c r="S33" s="52" t="str">
        <f t="array" ref="S33">IF($A33="","",IF(SUMPRODUCT(('J2 - 19 sept'!F$4:F$33=$A33)*1)=0,"",IF(SUMPRODUCT(('J2 - 19 sept'!F$4:F$33=$A33)*1)=1,INDEX('J2 - 19 sept'!$P$4:$P$33,MATCH($A33,'J2 - 19 sept'!F$4:F$33,0)),"⚠ CONFLIT")))</f>
        <v/>
      </c>
      <c r="T33" s="52" t="str">
        <f t="array" ref="T33">IF($A33="","",IF(SUMPRODUCT(('J2 - 19 sept'!G$4:G$33=$A33)*1)=0,"",IF(SUMPRODUCT(('J2 - 19 sept'!G$4:G$33=$A33)*1)=1,INDEX('J2 - 19 sept'!$P$4:$P$33,MATCH($A33,'J2 - 19 sept'!G$4:G$33,0)),"⚠ CONFLIT")))</f>
        <v/>
      </c>
      <c r="U33" s="52" t="str">
        <f t="array" ref="U33">IF($A33="","",IF(SUMPRODUCT(('J2 - 19 sept'!H$4:H$33=$A33)*1)=0,"",IF(SUMPRODUCT(('J2 - 19 sept'!H$4:H$33=$A33)*1)=1,INDEX('J2 - 19 sept'!$P$4:$P$33,MATCH($A33,'J2 - 19 sept'!H$4:H$33,0)),"⚠ CONFLIT")))</f>
        <v/>
      </c>
      <c r="V33" s="52" t="str">
        <f t="array" ref="V33">IF($A33="","",IF(SUMPRODUCT(('J2 - 19 sept'!I$4:I$33=$A33)*1)=0,"",IF(SUMPRODUCT(('J2 - 19 sept'!I$4:I$33=$A33)*1)=1,INDEX('J2 - 19 sept'!$P$4:$P$33,MATCH($A33,'J2 - 19 sept'!I$4:I$33,0)),"⚠ CONFLIT")))</f>
        <v/>
      </c>
      <c r="W33" s="52" t="str">
        <f t="array" ref="W33">IF($A33="","",IF(SUMPRODUCT(('J2 - 19 sept'!J$4:J$33=$A33)*1)=0,"",IF(SUMPRODUCT(('J2 - 19 sept'!J$4:J$33=$A33)*1)=1,INDEX('J2 - 19 sept'!$P$4:$P$33,MATCH($A33,'J2 - 19 sept'!J$4:J$33,0)),"⚠ CONFLIT")))</f>
        <v/>
      </c>
      <c r="X33" s="52" t="str">
        <f t="array" ref="X33">IF($A33="","",IF(SUMPRODUCT(('J2 - 19 sept'!K$4:K$33=$A33)*1)=0,"",IF(SUMPRODUCT(('J2 - 19 sept'!K$4:K$33=$A33)*1)=1,INDEX('J2 - 19 sept'!$P$4:$P$33,MATCH($A33,'J2 - 19 sept'!K$4:K$33,0)),"⚠ CONFLIT")))</f>
        <v/>
      </c>
      <c r="Y33" s="52" t="str">
        <f t="array" ref="Y33">IF($A33="","",IF(SUMPRODUCT(('J2 - 19 sept'!L$4:L$33=$A33)*1)=0,"",IF(SUMPRODUCT(('J2 - 19 sept'!L$4:L$33=$A33)*1)=1,INDEX('J2 - 19 sept'!$P$4:$P$33,MATCH($A33,'J2 - 19 sept'!L$4:L$33,0)),"⚠ CONFLIT")))</f>
        <v/>
      </c>
      <c r="Z33" s="52" t="str">
        <f t="array" ref="Z33">IF($A33="","",IF(SUMPRODUCT(('J2 - 19 sept'!M$4:M$33=$A33)*1)=0,"",IF(SUMPRODUCT(('J2 - 19 sept'!M$4:M$33=$A33)*1)=1,INDEX('J2 - 19 sept'!$P$4:$P$33,MATCH($A33,'J2 - 19 sept'!M$4:M$33,0)),"⚠ CONFLIT")))</f>
        <v/>
      </c>
      <c r="AA33" s="52" t="str">
        <f t="array" ref="AA33">IF($A33="","",IF(SUMPRODUCT(('J2 - 19 sept'!N$4:N$33=$A33)*1)=0,"",IF(SUMPRODUCT(('J2 - 19 sept'!N$4:N$33=$A33)*1)=1,INDEX('J2 - 19 sept'!$P$4:$P$33,MATCH($A33,'J2 - 19 sept'!N$4:N$33,0)),"⚠ CONFLIT")))</f>
        <v/>
      </c>
    </row>
    <row r="34" ht="15.75" customHeight="1">
      <c r="A34" s="50" t="str">
        <f>IF('Paramètres'!$B$44="","",'Paramètres'!$B$44)</f>
        <v/>
      </c>
      <c r="B34" s="51" t="str">
        <f>IF('Paramètres'!$C$44="","",'Paramètres'!$C$44)</f>
        <v/>
      </c>
      <c r="C34" s="52" t="str">
        <f t="array" ref="C34">IF($A34="","",IF(SUMPRODUCT(('J1 - 18 sept'!C$4:C$33=$A34)*1)=0,"",IF(SUMPRODUCT(('J1 - 18 sept'!C$4:C$33=$A34)*1)=1,INDEX('J1 - 18 sept'!$P$4:$P$33,MATCH($A34,'J1 - 18 sept'!C$4:C$33,0)),"⚠ CONFLIT")))</f>
        <v/>
      </c>
      <c r="D34" s="52" t="str">
        <f t="array" ref="D34">IF($A34="","",IF(SUMPRODUCT(('J1 - 18 sept'!D$4:D$33=$A34)*1)=0,"",IF(SUMPRODUCT(('J1 - 18 sept'!D$4:D$33=$A34)*1)=1,INDEX('J1 - 18 sept'!$P$4:$P$33,MATCH($A34,'J1 - 18 sept'!D$4:D$33,0)),"⚠ CONFLIT")))</f>
        <v/>
      </c>
      <c r="E34" s="52" t="str">
        <f t="array" ref="E34">IF($A34="","",IF(SUMPRODUCT(('J1 - 18 sept'!E$4:E$33=$A34)*1)=0,"",IF(SUMPRODUCT(('J1 - 18 sept'!E$4:E$33=$A34)*1)=1,INDEX('J1 - 18 sept'!$P$4:$P$33,MATCH($A34,'J1 - 18 sept'!E$4:E$33,0)),"⚠ CONFLIT")))</f>
        <v/>
      </c>
      <c r="F34" s="52" t="str">
        <f t="array" ref="F34">IF($A34="","",IF(SUMPRODUCT(('J1 - 18 sept'!F$4:F$33=$A34)*1)=0,"",IF(SUMPRODUCT(('J1 - 18 sept'!F$4:F$33=$A34)*1)=1,INDEX('J1 - 18 sept'!$P$4:$P$33,MATCH($A34,'J1 - 18 sept'!F$4:F$33,0)),"⚠ CONFLIT")))</f>
        <v/>
      </c>
      <c r="G34" s="52" t="str">
        <f t="array" ref="G34">IF($A34="","",IF(SUMPRODUCT(('J1 - 18 sept'!G$4:G$33=$A34)*1)=0,"",IF(SUMPRODUCT(('J1 - 18 sept'!G$4:G$33=$A34)*1)=1,INDEX('J1 - 18 sept'!$P$4:$P$33,MATCH($A34,'J1 - 18 sept'!G$4:G$33,0)),"⚠ CONFLIT")))</f>
        <v/>
      </c>
      <c r="H34" s="52" t="str">
        <f t="array" ref="H34">IF($A34="","",IF(SUMPRODUCT(('J1 - 18 sept'!H$4:H$33=$A34)*1)=0,"",IF(SUMPRODUCT(('J1 - 18 sept'!H$4:H$33=$A34)*1)=1,INDEX('J1 - 18 sept'!$P$4:$P$33,MATCH($A34,'J1 - 18 sept'!H$4:H$33,0)),"⚠ CONFLIT")))</f>
        <v/>
      </c>
      <c r="I34" s="52" t="str">
        <f t="array" ref="I34">IF($A34="","",IF(SUMPRODUCT(('J1 - 18 sept'!I$4:I$33=$A34)*1)=0,"",IF(SUMPRODUCT(('J1 - 18 sept'!I$4:I$33=$A34)*1)=1,INDEX('J1 - 18 sept'!$P$4:$P$33,MATCH($A34,'J1 - 18 sept'!I$4:I$33,0)),"⚠ CONFLIT")))</f>
        <v/>
      </c>
      <c r="J34" s="52" t="str">
        <f t="array" ref="J34">IF($A34="","",IF(SUMPRODUCT(('J1 - 18 sept'!J$4:J$33=$A34)*1)=0,"",IF(SUMPRODUCT(('J1 - 18 sept'!J$4:J$33=$A34)*1)=1,INDEX('J1 - 18 sept'!$P$4:$P$33,MATCH($A34,'J1 - 18 sept'!J$4:J$33,0)),"⚠ CONFLIT")))</f>
        <v/>
      </c>
      <c r="K34" s="52" t="str">
        <f t="array" ref="K34">IF($A34="","",IF(SUMPRODUCT(('J1 - 18 sept'!K$4:K$33=$A34)*1)=0,"",IF(SUMPRODUCT(('J1 - 18 sept'!K$4:K$33=$A34)*1)=1,INDEX('J1 - 18 sept'!$P$4:$P$33,MATCH($A34,'J1 - 18 sept'!K$4:K$33,0)),"⚠ CONFLIT")))</f>
        <v/>
      </c>
      <c r="L34" s="52" t="str">
        <f t="array" ref="L34">IF($A34="","",IF(SUMPRODUCT(('J1 - 18 sept'!L$4:L$33=$A34)*1)=0,"",IF(SUMPRODUCT(('J1 - 18 sept'!L$4:L$33=$A34)*1)=1,INDEX('J1 - 18 sept'!$P$4:$P$33,MATCH($A34,'J1 - 18 sept'!L$4:L$33,0)),"⚠ CONFLIT")))</f>
        <v/>
      </c>
      <c r="M34" s="52" t="str">
        <f t="array" ref="M34">IF($A34="","",IF(SUMPRODUCT(('J1 - 18 sept'!M$4:M$33=$A34)*1)=0,"",IF(SUMPRODUCT(('J1 - 18 sept'!M$4:M$33=$A34)*1)=1,INDEX('J1 - 18 sept'!$P$4:$P$33,MATCH($A34,'J1 - 18 sept'!M$4:M$33,0)),"⚠ CONFLIT")))</f>
        <v/>
      </c>
      <c r="N34" s="52" t="str">
        <f t="array" ref="N34">IF($A34="","",IF(SUMPRODUCT(('J1 - 18 sept'!N$4:N$33=$A34)*1)=0,"",IF(SUMPRODUCT(('J1 - 18 sept'!N$4:N$33=$A34)*1)=1,INDEX('J1 - 18 sept'!$P$4:$P$33,MATCH($A34,'J1 - 18 sept'!N$4:N$33,0)),"⚠ CONFLIT")))</f>
        <v/>
      </c>
      <c r="P34" s="52" t="str">
        <f t="array" ref="P34">IF($A34="","",IF(SUMPRODUCT(('J2 - 19 sept'!C$4:C$33=$A34)*1)=0,"",IF(SUMPRODUCT(('J2 - 19 sept'!C$4:C$33=$A34)*1)=1,INDEX('J2 - 19 sept'!$P$4:$P$33,MATCH($A34,'J2 - 19 sept'!C$4:C$33,0)),"⚠ CONFLIT")))</f>
        <v/>
      </c>
      <c r="Q34" s="52" t="str">
        <f t="array" ref="Q34">IF($A34="","",IF(SUMPRODUCT(('J2 - 19 sept'!D$4:D$33=$A34)*1)=0,"",IF(SUMPRODUCT(('J2 - 19 sept'!D$4:D$33=$A34)*1)=1,INDEX('J2 - 19 sept'!$P$4:$P$33,MATCH($A34,'J2 - 19 sept'!D$4:D$33,0)),"⚠ CONFLIT")))</f>
        <v/>
      </c>
      <c r="R34" s="52" t="str">
        <f t="array" ref="R34">IF($A34="","",IF(SUMPRODUCT(('J2 - 19 sept'!E$4:E$33=$A34)*1)=0,"",IF(SUMPRODUCT(('J2 - 19 sept'!E$4:E$33=$A34)*1)=1,INDEX('J2 - 19 sept'!$P$4:$P$33,MATCH($A34,'J2 - 19 sept'!E$4:E$33,0)),"⚠ CONFLIT")))</f>
        <v/>
      </c>
      <c r="S34" s="52" t="str">
        <f t="array" ref="S34">IF($A34="","",IF(SUMPRODUCT(('J2 - 19 sept'!F$4:F$33=$A34)*1)=0,"",IF(SUMPRODUCT(('J2 - 19 sept'!F$4:F$33=$A34)*1)=1,INDEX('J2 - 19 sept'!$P$4:$P$33,MATCH($A34,'J2 - 19 sept'!F$4:F$33,0)),"⚠ CONFLIT")))</f>
        <v/>
      </c>
      <c r="T34" s="52" t="str">
        <f t="array" ref="T34">IF($A34="","",IF(SUMPRODUCT(('J2 - 19 sept'!G$4:G$33=$A34)*1)=0,"",IF(SUMPRODUCT(('J2 - 19 sept'!G$4:G$33=$A34)*1)=1,INDEX('J2 - 19 sept'!$P$4:$P$33,MATCH($A34,'J2 - 19 sept'!G$4:G$33,0)),"⚠ CONFLIT")))</f>
        <v/>
      </c>
      <c r="U34" s="52" t="str">
        <f t="array" ref="U34">IF($A34="","",IF(SUMPRODUCT(('J2 - 19 sept'!H$4:H$33=$A34)*1)=0,"",IF(SUMPRODUCT(('J2 - 19 sept'!H$4:H$33=$A34)*1)=1,INDEX('J2 - 19 sept'!$P$4:$P$33,MATCH($A34,'J2 - 19 sept'!H$4:H$33,0)),"⚠ CONFLIT")))</f>
        <v/>
      </c>
      <c r="V34" s="52" t="str">
        <f t="array" ref="V34">IF($A34="","",IF(SUMPRODUCT(('J2 - 19 sept'!I$4:I$33=$A34)*1)=0,"",IF(SUMPRODUCT(('J2 - 19 sept'!I$4:I$33=$A34)*1)=1,INDEX('J2 - 19 sept'!$P$4:$P$33,MATCH($A34,'J2 - 19 sept'!I$4:I$33,0)),"⚠ CONFLIT")))</f>
        <v/>
      </c>
      <c r="W34" s="52" t="str">
        <f t="array" ref="W34">IF($A34="","",IF(SUMPRODUCT(('J2 - 19 sept'!J$4:J$33=$A34)*1)=0,"",IF(SUMPRODUCT(('J2 - 19 sept'!J$4:J$33=$A34)*1)=1,INDEX('J2 - 19 sept'!$P$4:$P$33,MATCH($A34,'J2 - 19 sept'!J$4:J$33,0)),"⚠ CONFLIT")))</f>
        <v/>
      </c>
      <c r="X34" s="52" t="str">
        <f t="array" ref="X34">IF($A34="","",IF(SUMPRODUCT(('J2 - 19 sept'!K$4:K$33=$A34)*1)=0,"",IF(SUMPRODUCT(('J2 - 19 sept'!K$4:K$33=$A34)*1)=1,INDEX('J2 - 19 sept'!$P$4:$P$33,MATCH($A34,'J2 - 19 sept'!K$4:K$33,0)),"⚠ CONFLIT")))</f>
        <v/>
      </c>
      <c r="Y34" s="52" t="str">
        <f t="array" ref="Y34">IF($A34="","",IF(SUMPRODUCT(('J2 - 19 sept'!L$4:L$33=$A34)*1)=0,"",IF(SUMPRODUCT(('J2 - 19 sept'!L$4:L$33=$A34)*1)=1,INDEX('J2 - 19 sept'!$P$4:$P$33,MATCH($A34,'J2 - 19 sept'!L$4:L$33,0)),"⚠ CONFLIT")))</f>
        <v/>
      </c>
      <c r="Z34" s="52" t="str">
        <f t="array" ref="Z34">IF($A34="","",IF(SUMPRODUCT(('J2 - 19 sept'!M$4:M$33=$A34)*1)=0,"",IF(SUMPRODUCT(('J2 - 19 sept'!M$4:M$33=$A34)*1)=1,INDEX('J2 - 19 sept'!$P$4:$P$33,MATCH($A34,'J2 - 19 sept'!M$4:M$33,0)),"⚠ CONFLIT")))</f>
        <v/>
      </c>
      <c r="AA34" s="52" t="str">
        <f t="array" ref="AA34">IF($A34="","",IF(SUMPRODUCT(('J2 - 19 sept'!N$4:N$33=$A34)*1)=0,"",IF(SUMPRODUCT(('J2 - 19 sept'!N$4:N$33=$A34)*1)=1,INDEX('J2 - 19 sept'!$P$4:$P$33,MATCH($A34,'J2 - 19 sept'!N$4:N$33,0)),"⚠ CONFLIT")))</f>
        <v/>
      </c>
    </row>
    <row r="35" ht="15.75" customHeight="1">
      <c r="A35" s="50" t="str">
        <f>IF('Paramètres'!$B$45="","",'Paramètres'!$B$45)</f>
        <v/>
      </c>
      <c r="B35" s="51" t="str">
        <f>IF('Paramètres'!$C$45="","",'Paramètres'!$C$45)</f>
        <v/>
      </c>
      <c r="C35" s="52" t="str">
        <f t="array" ref="C35">IF($A35="","",IF(SUMPRODUCT(('J1 - 18 sept'!C$4:C$33=$A35)*1)=0,"",IF(SUMPRODUCT(('J1 - 18 sept'!C$4:C$33=$A35)*1)=1,INDEX('J1 - 18 sept'!$P$4:$P$33,MATCH($A35,'J1 - 18 sept'!C$4:C$33,0)),"⚠ CONFLIT")))</f>
        <v/>
      </c>
      <c r="D35" s="52" t="str">
        <f t="array" ref="D35">IF($A35="","",IF(SUMPRODUCT(('J1 - 18 sept'!D$4:D$33=$A35)*1)=0,"",IF(SUMPRODUCT(('J1 - 18 sept'!D$4:D$33=$A35)*1)=1,INDEX('J1 - 18 sept'!$P$4:$P$33,MATCH($A35,'J1 - 18 sept'!D$4:D$33,0)),"⚠ CONFLIT")))</f>
        <v/>
      </c>
      <c r="E35" s="52" t="str">
        <f t="array" ref="E35">IF($A35="","",IF(SUMPRODUCT(('J1 - 18 sept'!E$4:E$33=$A35)*1)=0,"",IF(SUMPRODUCT(('J1 - 18 sept'!E$4:E$33=$A35)*1)=1,INDEX('J1 - 18 sept'!$P$4:$P$33,MATCH($A35,'J1 - 18 sept'!E$4:E$33,0)),"⚠ CONFLIT")))</f>
        <v/>
      </c>
      <c r="F35" s="52" t="str">
        <f t="array" ref="F35">IF($A35="","",IF(SUMPRODUCT(('J1 - 18 sept'!F$4:F$33=$A35)*1)=0,"",IF(SUMPRODUCT(('J1 - 18 sept'!F$4:F$33=$A35)*1)=1,INDEX('J1 - 18 sept'!$P$4:$P$33,MATCH($A35,'J1 - 18 sept'!F$4:F$33,0)),"⚠ CONFLIT")))</f>
        <v/>
      </c>
      <c r="G35" s="52" t="str">
        <f t="array" ref="G35">IF($A35="","",IF(SUMPRODUCT(('J1 - 18 sept'!G$4:G$33=$A35)*1)=0,"",IF(SUMPRODUCT(('J1 - 18 sept'!G$4:G$33=$A35)*1)=1,INDEX('J1 - 18 sept'!$P$4:$P$33,MATCH($A35,'J1 - 18 sept'!G$4:G$33,0)),"⚠ CONFLIT")))</f>
        <v/>
      </c>
      <c r="H35" s="52" t="str">
        <f t="array" ref="H35">IF($A35="","",IF(SUMPRODUCT(('J1 - 18 sept'!H$4:H$33=$A35)*1)=0,"",IF(SUMPRODUCT(('J1 - 18 sept'!H$4:H$33=$A35)*1)=1,INDEX('J1 - 18 sept'!$P$4:$P$33,MATCH($A35,'J1 - 18 sept'!H$4:H$33,0)),"⚠ CONFLIT")))</f>
        <v/>
      </c>
      <c r="I35" s="52" t="str">
        <f t="array" ref="I35">IF($A35="","",IF(SUMPRODUCT(('J1 - 18 sept'!I$4:I$33=$A35)*1)=0,"",IF(SUMPRODUCT(('J1 - 18 sept'!I$4:I$33=$A35)*1)=1,INDEX('J1 - 18 sept'!$P$4:$P$33,MATCH($A35,'J1 - 18 sept'!I$4:I$33,0)),"⚠ CONFLIT")))</f>
        <v/>
      </c>
      <c r="J35" s="52" t="str">
        <f t="array" ref="J35">IF($A35="","",IF(SUMPRODUCT(('J1 - 18 sept'!J$4:J$33=$A35)*1)=0,"",IF(SUMPRODUCT(('J1 - 18 sept'!J$4:J$33=$A35)*1)=1,INDEX('J1 - 18 sept'!$P$4:$P$33,MATCH($A35,'J1 - 18 sept'!J$4:J$33,0)),"⚠ CONFLIT")))</f>
        <v/>
      </c>
      <c r="K35" s="52" t="str">
        <f t="array" ref="K35">IF($A35="","",IF(SUMPRODUCT(('J1 - 18 sept'!K$4:K$33=$A35)*1)=0,"",IF(SUMPRODUCT(('J1 - 18 sept'!K$4:K$33=$A35)*1)=1,INDEX('J1 - 18 sept'!$P$4:$P$33,MATCH($A35,'J1 - 18 sept'!K$4:K$33,0)),"⚠ CONFLIT")))</f>
        <v/>
      </c>
      <c r="L35" s="52" t="str">
        <f t="array" ref="L35">IF($A35="","",IF(SUMPRODUCT(('J1 - 18 sept'!L$4:L$33=$A35)*1)=0,"",IF(SUMPRODUCT(('J1 - 18 sept'!L$4:L$33=$A35)*1)=1,INDEX('J1 - 18 sept'!$P$4:$P$33,MATCH($A35,'J1 - 18 sept'!L$4:L$33,0)),"⚠ CONFLIT")))</f>
        <v/>
      </c>
      <c r="M35" s="52" t="str">
        <f t="array" ref="M35">IF($A35="","",IF(SUMPRODUCT(('J1 - 18 sept'!M$4:M$33=$A35)*1)=0,"",IF(SUMPRODUCT(('J1 - 18 sept'!M$4:M$33=$A35)*1)=1,INDEX('J1 - 18 sept'!$P$4:$P$33,MATCH($A35,'J1 - 18 sept'!M$4:M$33,0)),"⚠ CONFLIT")))</f>
        <v/>
      </c>
      <c r="N35" s="52" t="str">
        <f t="array" ref="N35">IF($A35="","",IF(SUMPRODUCT(('J1 - 18 sept'!N$4:N$33=$A35)*1)=0,"",IF(SUMPRODUCT(('J1 - 18 sept'!N$4:N$33=$A35)*1)=1,INDEX('J1 - 18 sept'!$P$4:$P$33,MATCH($A35,'J1 - 18 sept'!N$4:N$33,0)),"⚠ CONFLIT")))</f>
        <v/>
      </c>
      <c r="P35" s="52" t="str">
        <f t="array" ref="P35">IF($A35="","",IF(SUMPRODUCT(('J2 - 19 sept'!C$4:C$33=$A35)*1)=0,"",IF(SUMPRODUCT(('J2 - 19 sept'!C$4:C$33=$A35)*1)=1,INDEX('J2 - 19 sept'!$P$4:$P$33,MATCH($A35,'J2 - 19 sept'!C$4:C$33,0)),"⚠ CONFLIT")))</f>
        <v/>
      </c>
      <c r="Q35" s="52" t="str">
        <f t="array" ref="Q35">IF($A35="","",IF(SUMPRODUCT(('J2 - 19 sept'!D$4:D$33=$A35)*1)=0,"",IF(SUMPRODUCT(('J2 - 19 sept'!D$4:D$33=$A35)*1)=1,INDEX('J2 - 19 sept'!$P$4:$P$33,MATCH($A35,'J2 - 19 sept'!D$4:D$33,0)),"⚠ CONFLIT")))</f>
        <v/>
      </c>
      <c r="R35" s="52" t="str">
        <f t="array" ref="R35">IF($A35="","",IF(SUMPRODUCT(('J2 - 19 sept'!E$4:E$33=$A35)*1)=0,"",IF(SUMPRODUCT(('J2 - 19 sept'!E$4:E$33=$A35)*1)=1,INDEX('J2 - 19 sept'!$P$4:$P$33,MATCH($A35,'J2 - 19 sept'!E$4:E$33,0)),"⚠ CONFLIT")))</f>
        <v/>
      </c>
      <c r="S35" s="52" t="str">
        <f t="array" ref="S35">IF($A35="","",IF(SUMPRODUCT(('J2 - 19 sept'!F$4:F$33=$A35)*1)=0,"",IF(SUMPRODUCT(('J2 - 19 sept'!F$4:F$33=$A35)*1)=1,INDEX('J2 - 19 sept'!$P$4:$P$33,MATCH($A35,'J2 - 19 sept'!F$4:F$33,0)),"⚠ CONFLIT")))</f>
        <v/>
      </c>
      <c r="T35" s="52" t="str">
        <f t="array" ref="T35">IF($A35="","",IF(SUMPRODUCT(('J2 - 19 sept'!G$4:G$33=$A35)*1)=0,"",IF(SUMPRODUCT(('J2 - 19 sept'!G$4:G$33=$A35)*1)=1,INDEX('J2 - 19 sept'!$P$4:$P$33,MATCH($A35,'J2 - 19 sept'!G$4:G$33,0)),"⚠ CONFLIT")))</f>
        <v/>
      </c>
      <c r="U35" s="52" t="str">
        <f t="array" ref="U35">IF($A35="","",IF(SUMPRODUCT(('J2 - 19 sept'!H$4:H$33=$A35)*1)=0,"",IF(SUMPRODUCT(('J2 - 19 sept'!H$4:H$33=$A35)*1)=1,INDEX('J2 - 19 sept'!$P$4:$P$33,MATCH($A35,'J2 - 19 sept'!H$4:H$33,0)),"⚠ CONFLIT")))</f>
        <v/>
      </c>
      <c r="V35" s="52" t="str">
        <f t="array" ref="V35">IF($A35="","",IF(SUMPRODUCT(('J2 - 19 sept'!I$4:I$33=$A35)*1)=0,"",IF(SUMPRODUCT(('J2 - 19 sept'!I$4:I$33=$A35)*1)=1,INDEX('J2 - 19 sept'!$P$4:$P$33,MATCH($A35,'J2 - 19 sept'!I$4:I$33,0)),"⚠ CONFLIT")))</f>
        <v/>
      </c>
      <c r="W35" s="52" t="str">
        <f t="array" ref="W35">IF($A35="","",IF(SUMPRODUCT(('J2 - 19 sept'!J$4:J$33=$A35)*1)=0,"",IF(SUMPRODUCT(('J2 - 19 sept'!J$4:J$33=$A35)*1)=1,INDEX('J2 - 19 sept'!$P$4:$P$33,MATCH($A35,'J2 - 19 sept'!J$4:J$33,0)),"⚠ CONFLIT")))</f>
        <v/>
      </c>
      <c r="X35" s="52" t="str">
        <f t="array" ref="X35">IF($A35="","",IF(SUMPRODUCT(('J2 - 19 sept'!K$4:K$33=$A35)*1)=0,"",IF(SUMPRODUCT(('J2 - 19 sept'!K$4:K$33=$A35)*1)=1,INDEX('J2 - 19 sept'!$P$4:$P$33,MATCH($A35,'J2 - 19 sept'!K$4:K$33,0)),"⚠ CONFLIT")))</f>
        <v/>
      </c>
      <c r="Y35" s="52" t="str">
        <f t="array" ref="Y35">IF($A35="","",IF(SUMPRODUCT(('J2 - 19 sept'!L$4:L$33=$A35)*1)=0,"",IF(SUMPRODUCT(('J2 - 19 sept'!L$4:L$33=$A35)*1)=1,INDEX('J2 - 19 sept'!$P$4:$P$33,MATCH($A35,'J2 - 19 sept'!L$4:L$33,0)),"⚠ CONFLIT")))</f>
        <v/>
      </c>
      <c r="Z35" s="52" t="str">
        <f t="array" ref="Z35">IF($A35="","",IF(SUMPRODUCT(('J2 - 19 sept'!M$4:M$33=$A35)*1)=0,"",IF(SUMPRODUCT(('J2 - 19 sept'!M$4:M$33=$A35)*1)=1,INDEX('J2 - 19 sept'!$P$4:$P$33,MATCH($A35,'J2 - 19 sept'!M$4:M$33,0)),"⚠ CONFLIT")))</f>
        <v/>
      </c>
      <c r="AA35" s="52" t="str">
        <f t="array" ref="AA35">IF($A35="","",IF(SUMPRODUCT(('J2 - 19 sept'!N$4:N$33=$A35)*1)=0,"",IF(SUMPRODUCT(('J2 - 19 sept'!N$4:N$33=$A35)*1)=1,INDEX('J2 - 19 sept'!$P$4:$P$33,MATCH($A35,'J2 - 19 sept'!N$4:N$33,0)),"⚠ CONFLIT")))</f>
        <v/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AA1"/>
    <mergeCell ref="C2:N2"/>
    <mergeCell ref="P2:AA2"/>
  </mergeCells>
  <conditionalFormatting sqref="C4:N35">
    <cfRule type="expression" dxfId="0" priority="1">
      <formula>ISNUMBER(SEARCH("CONFLIT",C4))</formula>
    </cfRule>
  </conditionalFormatting>
  <conditionalFormatting sqref="P4:AA35">
    <cfRule type="expression" dxfId="0" priority="2">
      <formula>ISNUMBER(SEARCH("CONFLIT",P4))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2.0"/>
    <col customWidth="1" min="3" max="4" width="34.0"/>
    <col customWidth="1" min="5" max="26" width="8.71"/>
  </cols>
  <sheetData>
    <row r="2">
      <c r="B2" s="53" t="s">
        <v>65</v>
      </c>
    </row>
    <row r="4">
      <c r="B4" s="54" t="s">
        <v>66</v>
      </c>
      <c r="C4" s="55" t="s">
        <v>20</v>
      </c>
      <c r="D4" s="7"/>
    </row>
    <row r="6">
      <c r="B6" s="56" t="s">
        <v>67</v>
      </c>
      <c r="C6" s="57" t="str">
        <f t="array" ref="C6">IFERROR(IF($C$4="","",INDEX('Paramètres'!$C$15:$C$45,MATCH($C$4,'Paramètres'!$B$15:$B$45,0))),"")</f>
        <v>Équipe 1</v>
      </c>
    </row>
    <row r="7">
      <c r="B7" s="56" t="s">
        <v>68</v>
      </c>
      <c r="C7" s="57" t="str">
        <f t="array" ref="C7">IFERROR(IF($C$4="","",INDEX('Paramètres'!$D$15:$D$45,MATCH($C$4,'Paramètres'!$B$15:$B$45,0))),"")</f>
        <v/>
      </c>
    </row>
    <row r="9">
      <c r="B9" s="58" t="s">
        <v>69</v>
      </c>
      <c r="C9" s="58" t="s">
        <v>70</v>
      </c>
      <c r="D9" s="58" t="s">
        <v>71</v>
      </c>
    </row>
    <row r="10">
      <c r="B10" s="59" t="str">
        <f>'Paramètres'!$G$6</f>
        <v>00h–02h</v>
      </c>
      <c r="C10" s="60" t="str">
        <f t="array" ref="C10">IF($C$4="","",IFERROR(IF(INDEX('Vue par personne'!$C$4:$C$35,MATCH($C$4,'Vue par personne'!$A$4:$A$35,0))="","— repos —",INDEX('Vue par personne'!$C$4:$C$35,MATCH($C$4,'Vue par personne'!$A$4:$A$35,0))),""))</f>
        <v>— repos —</v>
      </c>
      <c r="D10" s="60" t="str">
        <f t="array" ref="D10">IF($C$4="","",IFERROR(IF(INDEX('Vue par personne'!$P$4:$P$35,MATCH($C$4,'Vue par personne'!$A$4:$A$35,0))="","— repos —",INDEX('Vue par personne'!$P$4:$P$35,MATCH($C$4,'Vue par personne'!$A$4:$A$35,0))),""))</f>
        <v>— repos —</v>
      </c>
    </row>
    <row r="11">
      <c r="B11" s="59" t="str">
        <f>'Paramètres'!$G$7</f>
        <v>02h–04h</v>
      </c>
      <c r="C11" s="61" t="str">
        <f t="array" ref="C11">IF($C$4="","",IFERROR(IF(INDEX('Vue par personne'!$D$4:$D$35,MATCH($C$4,'Vue par personne'!$A$4:$A$35,0))="","— repos —",INDEX('Vue par personne'!$D$4:$D$35,MATCH($C$4,'Vue par personne'!$A$4:$A$35,0))),""))</f>
        <v>— repos —</v>
      </c>
      <c r="D11" s="61" t="str">
        <f t="array" ref="D11">IF($C$4="","",IFERROR(IF(INDEX('Vue par personne'!$Q$4:$Q$35,MATCH($C$4,'Vue par personne'!$A$4:$A$35,0))="","— repos —",INDEX('Vue par personne'!$Q$4:$Q$35,MATCH($C$4,'Vue par personne'!$A$4:$A$35,0))),""))</f>
        <v>— repos —</v>
      </c>
    </row>
    <row r="12">
      <c r="B12" s="59" t="str">
        <f>'Paramètres'!$G$8</f>
        <v>04h–06h</v>
      </c>
      <c r="C12" s="60" t="str">
        <f t="array" ref="C12">IF($C$4="","",IFERROR(IF(INDEX('Vue par personne'!$E$4:$E$35,MATCH($C$4,'Vue par personne'!$A$4:$A$35,0))="","— repos —",INDEX('Vue par personne'!$E$4:$E$35,MATCH($C$4,'Vue par personne'!$A$4:$A$35,0))),""))</f>
        <v>EDHEC</v>
      </c>
      <c r="D12" s="60" t="str">
        <f t="array" ref="D12">IF($C$4="","",IFERROR(IF(INDEX('Vue par personne'!$R$4:$R$35,MATCH($C$4,'Vue par personne'!$A$4:$A$35,0))="","— repos —",INDEX('Vue par personne'!$R$4:$R$35,MATCH($C$4,'Vue par personne'!$A$4:$A$35,0))),""))</f>
        <v>— repos —</v>
      </c>
    </row>
    <row r="13">
      <c r="B13" s="59" t="str">
        <f>'Paramètres'!$G$9</f>
        <v>06h–08h</v>
      </c>
      <c r="C13" s="61" t="str">
        <f t="array" ref="C13">IF($C$4="","",IFERROR(IF(INDEX('Vue par personne'!$F$4:$F$35,MATCH($C$4,'Vue par personne'!$A$4:$A$35,0))="","— repos —",INDEX('Vue par personne'!$F$4:$F$35,MATCH($C$4,'Vue par personne'!$A$4:$A$35,0))),""))</f>
        <v>— repos —</v>
      </c>
      <c r="D13" s="61" t="str">
        <f t="array" ref="D13">IF($C$4="","",IFERROR(IF(INDEX('Vue par personne'!$S$4:$S$35,MATCH($C$4,'Vue par personne'!$A$4:$A$35,0))="","— repos —",INDEX('Vue par personne'!$S$4:$S$35,MATCH($C$4,'Vue par personne'!$A$4:$A$35,0))),""))</f>
        <v>— repos —</v>
      </c>
    </row>
    <row r="14">
      <c r="B14" s="59" t="str">
        <f>'Paramètres'!$G$10</f>
        <v>08h–10h</v>
      </c>
      <c r="C14" s="60" t="str">
        <f t="array" ref="C14">IF($C$4="","",IFERROR(IF(INDEX('Vue par personne'!$G$4:$G$35,MATCH($C$4,'Vue par personne'!$A$4:$A$35,0))="","— repos —",INDEX('Vue par personne'!$G$4:$G$35,MATCH($C$4,'Vue par personne'!$A$4:$A$35,0))),""))</f>
        <v>— repos —</v>
      </c>
      <c r="D14" s="60" t="str">
        <f t="array" ref="D14">IF($C$4="","",IFERROR(IF(INDEX('Vue par personne'!$T$4:$T$35,MATCH($C$4,'Vue par personne'!$A$4:$A$35,0))="","— repos —",INDEX('Vue par personne'!$T$4:$T$35,MATCH($C$4,'Vue par personne'!$A$4:$A$35,0))),""))</f>
        <v>— repos —</v>
      </c>
    </row>
    <row r="15">
      <c r="B15" s="59" t="str">
        <f>'Paramètres'!$G$11</f>
        <v>10h–12h</v>
      </c>
      <c r="C15" s="61" t="str">
        <f t="array" ref="C15">IF($C$4="","",IFERROR(IF(INDEX('Vue par personne'!$H$4:$H$35,MATCH($C$4,'Vue par personne'!$A$4:$A$35,0))="","— repos —",INDEX('Vue par personne'!$H$4:$H$35,MATCH($C$4,'Vue par personne'!$A$4:$A$35,0))),""))</f>
        <v>— repos —</v>
      </c>
      <c r="D15" s="61" t="str">
        <f t="array" ref="D15">IF($C$4="","",IFERROR(IF(INDEX('Vue par personne'!$U$4:$U$35,MATCH($C$4,'Vue par personne'!$A$4:$A$35,0))="","— repos —",INDEX('Vue par personne'!$U$4:$U$35,MATCH($C$4,'Vue par personne'!$A$4:$A$35,0))),""))</f>
        <v>— repos —</v>
      </c>
    </row>
    <row r="16">
      <c r="B16" s="59" t="str">
        <f>'Paramètres'!$G$12</f>
        <v>12h–14h</v>
      </c>
      <c r="C16" s="60" t="str">
        <f t="array" ref="C16">IF($C$4="","",IFERROR(IF(INDEX('Vue par personne'!$I$4:$I$35,MATCH($C$4,'Vue par personne'!$A$4:$A$35,0))="","— repos —",INDEX('Vue par personne'!$I$4:$I$35,MATCH($C$4,'Vue par personne'!$A$4:$A$35,0))),""))</f>
        <v>— repos —</v>
      </c>
      <c r="D16" s="60" t="str">
        <f t="array" ref="D16">IF($C$4="","",IFERROR(IF(INDEX('Vue par personne'!$V$4:$V$35,MATCH($C$4,'Vue par personne'!$A$4:$A$35,0))="","— repos —",INDEX('Vue par personne'!$V$4:$V$35,MATCH($C$4,'Vue par personne'!$A$4:$A$35,0))),""))</f>
        <v>— repos —</v>
      </c>
    </row>
    <row r="17">
      <c r="B17" s="59" t="str">
        <f>'Paramètres'!$G$13</f>
        <v>14h–16h</v>
      </c>
      <c r="C17" s="61" t="str">
        <f t="array" ref="C17">IF($C$4="","",IFERROR(IF(INDEX('Vue par personne'!$J$4:$J$35,MATCH($C$4,'Vue par personne'!$A$4:$A$35,0))="","— repos —",INDEX('Vue par personne'!$J$4:$J$35,MATCH($C$4,'Vue par personne'!$A$4:$A$35,0))),""))</f>
        <v>— repos —</v>
      </c>
      <c r="D17" s="61" t="str">
        <f t="array" ref="D17">IF($C$4="","",IFERROR(IF(INDEX('Vue par personne'!$W$4:$W$35,MATCH($C$4,'Vue par personne'!$A$4:$A$35,0))="","— repos —",INDEX('Vue par personne'!$W$4:$W$35,MATCH($C$4,'Vue par personne'!$A$4:$A$35,0))),""))</f>
        <v>— repos —</v>
      </c>
    </row>
    <row r="18">
      <c r="B18" s="59" t="str">
        <f>'Paramètres'!$G$14</f>
        <v>16h–18h</v>
      </c>
      <c r="C18" s="60" t="str">
        <f t="array" ref="C18">IF($C$4="","",IFERROR(IF(INDEX('Vue par personne'!$K$4:$K$35,MATCH($C$4,'Vue par personne'!$A$4:$A$35,0))="","— repos —",INDEX('Vue par personne'!$K$4:$K$35,MATCH($C$4,'Vue par personne'!$A$4:$A$35,0))),""))</f>
        <v>— repos —</v>
      </c>
      <c r="D18" s="60" t="str">
        <f t="array" ref="D18">IF($C$4="","",IFERROR(IF(INDEX('Vue par personne'!$X$4:$X$35,MATCH($C$4,'Vue par personne'!$A$4:$A$35,0))="","— repos —",INDEX('Vue par personne'!$X$4:$X$35,MATCH($C$4,'Vue par personne'!$A$4:$A$35,0))),""))</f>
        <v>— repos —</v>
      </c>
    </row>
    <row r="19">
      <c r="B19" s="59" t="str">
        <f>'Paramètres'!$G$15</f>
        <v>18h–20h</v>
      </c>
      <c r="C19" s="61" t="str">
        <f t="array" ref="C19">IF($C$4="","",IFERROR(IF(INDEX('Vue par personne'!$L$4:$L$35,MATCH($C$4,'Vue par personne'!$A$4:$A$35,0))="","— repos —",INDEX('Vue par personne'!$L$4:$L$35,MATCH($C$4,'Vue par personne'!$A$4:$A$35,0))),""))</f>
        <v>— repos —</v>
      </c>
      <c r="D19" s="61" t="str">
        <f t="array" ref="D19">IF($C$4="","",IFERROR(IF(INDEX('Vue par personne'!$Y$4:$Y$35,MATCH($C$4,'Vue par personne'!$A$4:$A$35,0))="","— repos —",INDEX('Vue par personne'!$Y$4:$Y$35,MATCH($C$4,'Vue par personne'!$A$4:$A$35,0))),""))</f>
        <v>— repos —</v>
      </c>
    </row>
    <row r="20">
      <c r="B20" s="59" t="str">
        <f>'Paramètres'!$G$16</f>
        <v>20h–22h</v>
      </c>
      <c r="C20" s="60" t="str">
        <f t="array" ref="C20">IF($C$4="","",IFERROR(IF(INDEX('Vue par personne'!$M$4:$M$35,MATCH($C$4,'Vue par personne'!$A$4:$A$35,0))="","— repos —",INDEX('Vue par personne'!$M$4:$M$35,MATCH($C$4,'Vue par personne'!$A$4:$A$35,0))),""))</f>
        <v>— repos —</v>
      </c>
      <c r="D20" s="60" t="str">
        <f t="array" ref="D20">IF($C$4="","",IFERROR(IF(INDEX('Vue par personne'!$Z$4:$Z$35,MATCH($C$4,'Vue par personne'!$A$4:$A$35,0))="","— repos —",INDEX('Vue par personne'!$Z$4:$Z$35,MATCH($C$4,'Vue par personne'!$A$4:$A$35,0))),""))</f>
        <v>— repos —</v>
      </c>
    </row>
    <row r="21" ht="15.75" customHeight="1">
      <c r="B21" s="59" t="str">
        <f>'Paramètres'!$G$17</f>
        <v>22h–00h</v>
      </c>
      <c r="C21" s="61" t="str">
        <f t="array" ref="C21">IF($C$4="","",IFERROR(IF(INDEX('Vue par personne'!$N$4:$N$35,MATCH($C$4,'Vue par personne'!$A$4:$A$35,0))="","— repos —",INDEX('Vue par personne'!$N$4:$N$35,MATCH($C$4,'Vue par personne'!$A$4:$A$35,0))),""))</f>
        <v>— repos —</v>
      </c>
      <c r="D21" s="61" t="str">
        <f t="array" ref="D21">IF($C$4="","",IFERROR(IF(INDEX('Vue par personne'!$AA$4:$AA$35,MATCH($C$4,'Vue par personne'!$A$4:$A$35,0))="","— repos —",INDEX('Vue par personne'!$AA$4:$AA$35,MATCH($C$4,'Vue par personne'!$A$4:$A$35,0))),""))</f>
        <v>— repos —</v>
      </c>
    </row>
    <row r="22" ht="15.75" customHeight="1"/>
    <row r="23" ht="15.75" customHeight="1">
      <c r="B23" s="62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2:D2"/>
    <mergeCell ref="C4:D4"/>
    <mergeCell ref="B23:D23"/>
  </mergeCells>
  <dataValidations>
    <dataValidation type="list" allowBlank="1" sqref="C4">
      <formula1>Effectif_Noms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2026-06-15T09:35:25Z</dcterms:created>
  <dc:creator>openpyxl</dc:creator>
</cp:coreProperties>
</file>
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goncalhugo/Downloads/"/>
    </mc:Choice>
  </mc:AlternateContent>
  <xr:revisionPtr revIDLastSave="0" documentId="13_ncr:1_{9E8E5041-FE0D-8544-AA6D-72B03E429A7E}" xr6:coauthVersionLast="47" xr6:coauthVersionMax="47" xr10:uidLastSave="{00000000-0000-0000-0000-000000000000}"/>
  <bookViews>
    <workbookView xWindow="0" yWindow="660" windowWidth="30240" windowHeight="18980" tabRatio="500" activeTab="2" xr2:uid="{00000000-000D-0000-FFFF-FFFF00000000}"/>
  </bookViews>
  <sheets>
    <sheet name="Paramètres" sheetId="1" r:id="rId1"/>
    <sheet name="J1 — VEN 18" sheetId="2" r:id="rId2"/>
    <sheet name="J2 — SAM 19" sheetId="3" r:id="rId3"/>
    <sheet name="Fiche individuelle" sheetId="4" r:id="rId4"/>
    <sheet name="Récap équilibre" sheetId="5" r:id="rId5"/>
  </sheets>
  <definedNames>
    <definedName name="_xlnm.Print_Titles" localSheetId="1">'J1 — VEN 18'!$4:$4</definedName>
    <definedName name="_xlnm.Print_Titles" localSheetId="2">'J2 — SAM 19'!$4:$4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30" i="2" l="1"/>
  <c r="B15" i="5"/>
  <c r="C15" i="5" s="1"/>
  <c r="B14" i="5"/>
  <c r="G14" i="5" s="1"/>
  <c r="B13" i="5"/>
  <c r="E13" i="5" s="1"/>
  <c r="B12" i="5"/>
  <c r="F12" i="5" s="1"/>
  <c r="B11" i="5"/>
  <c r="G11" i="5" s="1"/>
  <c r="B10" i="5"/>
  <c r="E10" i="5" s="1"/>
  <c r="B9" i="5"/>
  <c r="G9" i="5" s="1"/>
  <c r="B8" i="5"/>
  <c r="C8" i="5" s="1"/>
  <c r="B7" i="5"/>
  <c r="G7" i="5" s="1"/>
  <c r="B6" i="5"/>
  <c r="F6" i="5" s="1"/>
  <c r="G5" i="5"/>
  <c r="F5" i="5"/>
  <c r="E5" i="5"/>
  <c r="D5" i="5"/>
  <c r="C5" i="5"/>
  <c r="G30" i="3"/>
  <c r="F30" i="3"/>
  <c r="E30" i="3"/>
  <c r="D30" i="3"/>
  <c r="C30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G4" i="3"/>
  <c r="F4" i="3"/>
  <c r="E4" i="3"/>
  <c r="D4" i="3"/>
  <c r="C4" i="3"/>
  <c r="G30" i="2"/>
  <c r="F30" i="2"/>
  <c r="D30" i="2"/>
  <c r="C30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G4" i="2"/>
  <c r="F4" i="2"/>
  <c r="E4" i="2"/>
  <c r="D4" i="2"/>
  <c r="C4" i="2"/>
  <c r="F55" i="1"/>
  <c r="C55" i="1"/>
  <c r="F54" i="1"/>
  <c r="C54" i="1"/>
  <c r="F53" i="1"/>
  <c r="C53" i="1"/>
  <c r="F52" i="1"/>
  <c r="C52" i="1"/>
  <c r="F51" i="1"/>
  <c r="C51" i="1"/>
  <c r="F50" i="1"/>
  <c r="C50" i="1"/>
  <c r="F49" i="1"/>
  <c r="F48" i="1"/>
  <c r="F47" i="1"/>
  <c r="F46" i="1"/>
  <c r="F45" i="1"/>
  <c r="F44" i="1"/>
  <c r="F43" i="1"/>
  <c r="F42" i="1"/>
  <c r="F41" i="1"/>
  <c r="F40" i="1"/>
  <c r="F39" i="1"/>
  <c r="C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14" i="1"/>
  <c r="C47" i="1" s="1"/>
  <c r="E14" i="1"/>
  <c r="C41" i="1" s="1"/>
  <c r="D14" i="1"/>
  <c r="C40" i="1" s="1"/>
  <c r="C14" i="1"/>
  <c r="C35" i="1" s="1"/>
  <c r="B14" i="1"/>
  <c r="C29" i="1" s="1"/>
  <c r="C10" i="1"/>
  <c r="C9" i="1"/>
  <c r="C8" i="1"/>
  <c r="C7" i="1"/>
  <c r="C6" i="1"/>
  <c r="C38" i="1" l="1"/>
  <c r="G8" i="5"/>
  <c r="G12" i="5"/>
  <c r="F8" i="5"/>
  <c r="C48" i="1"/>
  <c r="G10" i="5"/>
  <c r="C12" i="5"/>
  <c r="C42" i="1"/>
  <c r="D8" i="5"/>
  <c r="E8" i="5"/>
  <c r="F10" i="5"/>
  <c r="C9" i="5"/>
  <c r="D12" i="5"/>
  <c r="D9" i="5"/>
  <c r="G6" i="5"/>
  <c r="F13" i="5"/>
  <c r="C10" i="5"/>
  <c r="G13" i="5"/>
  <c r="C36" i="1"/>
  <c r="D10" i="5"/>
  <c r="C6" i="5"/>
  <c r="F9" i="5"/>
  <c r="E14" i="5"/>
  <c r="E15" i="5"/>
  <c r="D15" i="5"/>
  <c r="F15" i="5"/>
  <c r="G15" i="5"/>
  <c r="F7" i="5"/>
  <c r="C31" i="1"/>
  <c r="C37" i="1"/>
  <c r="C43" i="1"/>
  <c r="C49" i="1"/>
  <c r="C30" i="1"/>
  <c r="C26" i="1"/>
  <c r="C32" i="1"/>
  <c r="C44" i="1"/>
  <c r="C7" i="5"/>
  <c r="D7" i="5"/>
  <c r="E12" i="5"/>
  <c r="C14" i="5"/>
  <c r="C27" i="1"/>
  <c r="C33" i="1"/>
  <c r="C45" i="1"/>
  <c r="E7" i="5"/>
  <c r="D14" i="5"/>
  <c r="C28" i="1"/>
  <c r="C34" i="1"/>
  <c r="C46" i="1"/>
  <c r="E9" i="5"/>
  <c r="C11" i="5"/>
  <c r="F14" i="5"/>
  <c r="D11" i="5"/>
  <c r="D6" i="5"/>
  <c r="E11" i="5"/>
  <c r="C13" i="5"/>
  <c r="E6" i="5"/>
  <c r="F11" i="5"/>
  <c r="D13" i="5"/>
  <c r="H8" i="5" l="1"/>
  <c r="H12" i="5"/>
  <c r="G16" i="5"/>
  <c r="H10" i="5"/>
  <c r="H9" i="5"/>
  <c r="H15" i="5"/>
  <c r="E16" i="5"/>
  <c r="C16" i="5"/>
  <c r="F16" i="5"/>
  <c r="H13" i="5"/>
  <c r="H14" i="5"/>
  <c r="C5" i="4"/>
  <c r="J32" i="4" s="1"/>
  <c r="E10" i="1"/>
  <c r="E6" i="1"/>
  <c r="D6" i="1"/>
  <c r="E9" i="1"/>
  <c r="D10" i="1"/>
  <c r="D9" i="1"/>
  <c r="E8" i="1"/>
  <c r="D8" i="1"/>
  <c r="E7" i="1"/>
  <c r="D7" i="1"/>
  <c r="H11" i="5"/>
  <c r="D16" i="5"/>
  <c r="H7" i="5"/>
  <c r="H6" i="5"/>
  <c r="E18" i="5" l="1"/>
  <c r="J16" i="4"/>
  <c r="J17" i="4"/>
  <c r="J14" i="4"/>
  <c r="J13" i="4"/>
  <c r="J11" i="4"/>
  <c r="J9" i="4"/>
  <c r="J28" i="4"/>
  <c r="J20" i="4"/>
  <c r="J26" i="4"/>
  <c r="J10" i="4"/>
  <c r="J15" i="4"/>
  <c r="J27" i="4"/>
  <c r="J29" i="4"/>
  <c r="D32" i="4"/>
  <c r="D28" i="4"/>
  <c r="D24" i="4"/>
  <c r="D20" i="4"/>
  <c r="D16" i="4"/>
  <c r="D12" i="4"/>
  <c r="C32" i="4"/>
  <c r="C28" i="4"/>
  <c r="C24" i="4"/>
  <c r="C20" i="4"/>
  <c r="C16" i="4"/>
  <c r="C12" i="4"/>
  <c r="C31" i="4"/>
  <c r="C27" i="4"/>
  <c r="C23" i="4"/>
  <c r="C19" i="4"/>
  <c r="C15" i="4"/>
  <c r="C11" i="4"/>
  <c r="D31" i="4"/>
  <c r="D27" i="4"/>
  <c r="D23" i="4"/>
  <c r="D19" i="4"/>
  <c r="D15" i="4"/>
  <c r="D11" i="4"/>
  <c r="D30" i="4"/>
  <c r="D26" i="4"/>
  <c r="D22" i="4"/>
  <c r="D18" i="4"/>
  <c r="D14" i="4"/>
  <c r="D10" i="4"/>
  <c r="C30" i="4"/>
  <c r="C26" i="4"/>
  <c r="C22" i="4"/>
  <c r="C18" i="4"/>
  <c r="C14" i="4"/>
  <c r="C10" i="4"/>
  <c r="D33" i="4"/>
  <c r="D29" i="4"/>
  <c r="D25" i="4"/>
  <c r="D21" i="4"/>
  <c r="D17" i="4"/>
  <c r="D13" i="4"/>
  <c r="C7" i="4"/>
  <c r="C33" i="4"/>
  <c r="C29" i="4"/>
  <c r="C25" i="4"/>
  <c r="C21" i="4"/>
  <c r="C17" i="4"/>
  <c r="C13" i="4"/>
  <c r="J18" i="4"/>
  <c r="J23" i="4"/>
  <c r="J12" i="4"/>
  <c r="J30" i="4"/>
  <c r="J25" i="4"/>
  <c r="J24" i="4"/>
  <c r="J22" i="4"/>
  <c r="J19" i="4"/>
  <c r="J21" i="4"/>
  <c r="J31" i="4"/>
  <c r="H16" i="5"/>
  <c r="C6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13" authorId="0" shapeId="0" xr:uid="{00000000-0006-0000-0000-000001000000}">
      <text>
        <r>
          <rPr>
            <sz val="10"/>
            <color rgb="FF000000"/>
            <rFont val="Arial"/>
            <family val="2"/>
          </rPr>
          <t xml:space="preserve">Équipes constituées à partir du formulaire « Préférence de STAFF Sémi » :
</t>
        </r>
        <r>
          <rPr>
            <sz val="10"/>
            <color rgb="FF000000"/>
            <rFont val="Arial"/>
            <family val="2"/>
          </rPr>
          <t xml:space="preserve">- aucune incompatibilité déclarée n'est présente dans une même équipe ;
</t>
        </r>
        <r>
          <rPr>
            <sz val="10"/>
            <color rgb="FF000000"/>
            <rFont val="Arial"/>
            <family val="2"/>
          </rPr>
          <t xml:space="preserve">- les affinités déclarées ont été maximisées ;
</t>
        </r>
        <r>
          <rPr>
            <sz val="10"/>
            <color rgb="FF000000"/>
            <rFont val="Arial"/>
            <family val="2"/>
          </rPr>
          <t xml:space="preserve">- les 12 personnes n'ayant pas répondu ont été réparties aléatoirement ;
</t>
        </r>
        <r>
          <rPr>
            <sz val="10"/>
            <color rgb="FF000000"/>
            <rFont val="Arial"/>
            <family val="2"/>
          </rPr>
          <t xml:space="preserve">- équilibre filles / garçons dans chaque équipe (genre déduit du prénom, à corriger dans la colonne Genre si besoin).
</t>
        </r>
        <r>
          <rPr>
            <sz val="10"/>
            <color rgb="FF000000"/>
            <rFont val="Arial"/>
            <family val="2"/>
          </rPr>
          <t>Modifiable librement : tout le classeur suit.</t>
        </r>
      </text>
    </comment>
  </commentList>
</comments>
</file>

<file path=xl/sharedStrings.xml><?xml version="1.0" encoding="utf-8"?>
<sst xmlns="http://schemas.openxmlformats.org/spreadsheetml/2006/main" count="508" uniqueCount="144">
  <si>
    <t>PLANNING DE STAFF — SÉMI RAGNAROK · 18–19 septembre 2026</t>
  </si>
  <si>
    <t>ÉQUIPES</t>
  </si>
  <si>
    <t>Effectif</t>
  </si>
  <si>
    <t>Filles</t>
  </si>
  <si>
    <t>Garçons</t>
  </si>
  <si>
    <t>Chef d'équipe</t>
  </si>
  <si>
    <t>POSTE</t>
  </si>
  <si>
    <t>Remarque / responsable</t>
  </si>
  <si>
    <t>CRÉNEAUX</t>
  </si>
  <si>
    <t>Équipe 1</t>
  </si>
  <si>
    <t>SÉCU</t>
  </si>
  <si>
    <t>04h–05h</t>
  </si>
  <si>
    <t>Équipe 2</t>
  </si>
  <si>
    <t>PLAINE</t>
  </si>
  <si>
    <t>05h–06h</t>
  </si>
  <si>
    <t>Équipe 3</t>
  </si>
  <si>
    <t>SURVEILLANCE ACTIVITÉ</t>
  </si>
  <si>
    <t>06h–07h</t>
  </si>
  <si>
    <t>Équipe 4</t>
  </si>
  <si>
    <t>PRÉPA OB</t>
  </si>
  <si>
    <t>07h–08h</t>
  </si>
  <si>
    <t>Équipe 5</t>
  </si>
  <si>
    <t>REPAS</t>
  </si>
  <si>
    <t>08h–09h</t>
  </si>
  <si>
    <t>BUVETTE</t>
  </si>
  <si>
    <t>09h–10h</t>
  </si>
  <si>
    <t>NAVETTES</t>
  </si>
  <si>
    <t>10h–11h</t>
  </si>
  <si>
    <t>PRÉCHECK</t>
  </si>
  <si>
    <t>11h–12h</t>
  </si>
  <si>
    <t>MONTAGE / RANGEMENT</t>
  </si>
  <si>
    <t>12h–13h</t>
  </si>
  <si>
    <t>Camille</t>
  </si>
  <si>
    <t>Léna</t>
  </si>
  <si>
    <t>Gatien</t>
  </si>
  <si>
    <t>Adrien</t>
  </si>
  <si>
    <t>Amélie</t>
  </si>
  <si>
    <t>REPOS</t>
  </si>
  <si>
    <t>13h–14h</t>
  </si>
  <si>
    <t>Colombe</t>
  </si>
  <si>
    <t>Léo-Paul</t>
  </si>
  <si>
    <t>Maelle</t>
  </si>
  <si>
    <t>Louis</t>
  </si>
  <si>
    <t>Aurélien</t>
  </si>
  <si>
    <t>14h–15h</t>
  </si>
  <si>
    <t>Célie</t>
  </si>
  <si>
    <t>Macéo</t>
  </si>
  <si>
    <t>Malia</t>
  </si>
  <si>
    <t>Léa</t>
  </si>
  <si>
    <t>Benoit</t>
  </si>
  <si>
    <t>15h–16h</t>
  </si>
  <si>
    <t>Lucien</t>
  </si>
  <si>
    <t>Samuel</t>
  </si>
  <si>
    <t>Marthe</t>
  </si>
  <si>
    <t>Blanche</t>
  </si>
  <si>
    <t>16h–17h</t>
  </si>
  <si>
    <t>Nathan</t>
  </si>
  <si>
    <t>Zoé</t>
  </si>
  <si>
    <t>Teddy</t>
  </si>
  <si>
    <t>Ulysse</t>
  </si>
  <si>
    <t>17h–18h</t>
  </si>
  <si>
    <t>18h–19h</t>
  </si>
  <si>
    <t>19h–20h</t>
  </si>
  <si>
    <t>20h–21h</t>
  </si>
  <si>
    <t>21h–22h</t>
  </si>
  <si>
    <t>STAFF</t>
  </si>
  <si>
    <t>22h–23h</t>
  </si>
  <si>
    <t>Nom</t>
  </si>
  <si>
    <t>Équipe (auto)</t>
  </si>
  <si>
    <t>Genre (F/G)</t>
  </si>
  <si>
    <t>Téléphone</t>
  </si>
  <si>
    <t>Placé ?</t>
  </si>
  <si>
    <t>23h–00h</t>
  </si>
  <si>
    <t>F</t>
  </si>
  <si>
    <t>00h–01h</t>
  </si>
  <si>
    <t>01h–02h</t>
  </si>
  <si>
    <t>02h–03h</t>
  </si>
  <si>
    <t>G</t>
  </si>
  <si>
    <t>03h–04h</t>
  </si>
  <si>
    <t>VENDREDI 18 SEPTEMBRE 2026</t>
  </si>
  <si>
    <t>CRÉNEAU</t>
  </si>
  <si>
    <t>PROGRAMME DE LA JOURNÉE</t>
  </si>
  <si>
    <t>ÉQUIPES
RÉVEILLÉES</t>
  </si>
  <si>
    <t>06h30 RDV à l'EDHEC — Précheck Sémi GROUPE 1</t>
  </si>
  <si>
    <t>07h00 Précheck Sémi GROUPE 2</t>
  </si>
  <si>
    <t>08h00–08h45 Défilé des associations</t>
  </si>
  <si>
    <t>09h00 Diffusion boucle Groupe 1 + petit déjeuner</t>
  </si>
  <si>
    <t>10h00 Diffusion boucle Groupe 2 + petit déjeuner</t>
  </si>
  <si>
    <t>11h00 Départ 1re navette (jusqu'à 16h15) — distribution repas</t>
  </si>
  <si>
    <t>Navettes — arrivées et installation sur site</t>
  </si>
  <si>
    <t>Navettes — dernières rotations</t>
  </si>
  <si>
    <t>16h00 BDS — tir à la corde &amp; balle au prisonnier</t>
  </si>
  <si>
    <t>17h00 Ouverture buvette · 17h15 dernière installation · 17h30 ODN ENR relais sangria</t>
  </si>
  <si>
    <t>18h00–21h00 Dîner dans la grange par association</t>
  </si>
  <si>
    <t>19h00 ECC Mölkky x SUNSET 1-2-3 Soleil</t>
  </si>
  <si>
    <t>22h00 Showcase artiste sur la plaine · fermeture de la buvette</t>
  </si>
  <si>
    <t>23h00 SMAT</t>
  </si>
  <si>
    <t>03h00–05h00 After tech Ad'lib · 04h00 fin de journée</t>
  </si>
  <si>
    <t>Total heures de poste par équipe</t>
  </si>
  <si>
    <t>SAMEDI 19 SEPTEMBRE 2026</t>
  </si>
  <si>
    <t>08h00–11h00 Distribution petit déjeuner</t>
  </si>
  <si>
    <t>Petit déjeuner</t>
  </si>
  <si>
    <t>11h00 Ouverture buvette · Ventriglisse par EJM · ouverture déjeuner grange</t>
  </si>
  <si>
    <t>11h00–14h00 Déjeuner dans la grange</t>
  </si>
  <si>
    <t>Ventriglisse (jusqu'à 13h) / déjeuner grange</t>
  </si>
  <si>
    <t>14h00 OJO relais bière x Gourm'edhec relais flambi</t>
  </si>
  <si>
    <t>15h00 PDC open chips · Dionysos relais cubi · DJ contest étudiant (15h–16h30)</t>
  </si>
  <si>
    <t>16h00–17h00 Chti — distribution sangria</t>
  </si>
  <si>
    <t>17h00–18h00 CCE — distribution martini rouge</t>
  </si>
  <si>
    <t>19h00 OJO SKI — relais bière</t>
  </si>
  <si>
    <t>20h00 Préchauffe par association</t>
  </si>
  <si>
    <t>21h00 Fermeture buvette · 21h30 Showcase artiste n°2</t>
  </si>
  <si>
    <t>22h00 Diffusion du JT sur la plaine</t>
  </si>
  <si>
    <t>23h00 SMAT · 23h30 Départ de la première navette</t>
  </si>
  <si>
    <t>Navettes retour</t>
  </si>
  <si>
    <t>04h00 Fin de journée</t>
  </si>
  <si>
    <t>FICHE INDIVIDUELLE</t>
  </si>
  <si>
    <t>Ton nom :</t>
  </si>
  <si>
    <t>← choisis un nom dans la liste</t>
  </si>
  <si>
    <t>Équipe :</t>
  </si>
  <si>
    <t>Coéquipiers :</t>
  </si>
  <si>
    <t>Chef d'équipe :</t>
  </si>
  <si>
    <t>VENDREDI 18 SEPT</t>
  </si>
  <si>
    <t>SAMEDI 19 SEPT</t>
  </si>
  <si>
    <t>RÉCAP — ÉQUILIBRE DES POSTES PAR ÉQUIPE</t>
  </si>
  <si>
    <t>Nombre d'heures passées à chaque poste, sur les deux jours. Se met à jour automatiquement quand tu modifies les onglets J1 / J2.</t>
  </si>
  <si>
    <t>TOTAL</t>
  </si>
  <si>
    <t>HEURES DE POSTE (hors repos)</t>
  </si>
  <si>
    <t>Écart max entre équipes (heures de poste) :</t>
  </si>
  <si>
    <t>Maryline</t>
  </si>
  <si>
    <t xml:space="preserve">COMPOSITION DES ÉQUIPES  </t>
  </si>
  <si>
    <t xml:space="preserve">RDV 5h30 Pour tout préparer avant l'arriver des cotisants </t>
  </si>
  <si>
    <t>DÉFILÉ DES ASSOS</t>
  </si>
  <si>
    <t>DÉPART GHYVELDE</t>
  </si>
  <si>
    <t>DISTRIBUTION PET DEJ</t>
  </si>
  <si>
    <t>FOUILLES</t>
  </si>
  <si>
    <t>DISTRIBUTION REPAS</t>
  </si>
  <si>
    <t>SMAT 1 (VOIR STAFF RS)</t>
  </si>
  <si>
    <t>OUVERTURE BUVETTE</t>
  </si>
  <si>
    <t>Prépaparation arrivé Artiste et showcase</t>
  </si>
  <si>
    <t>SHOWCASE</t>
  </si>
  <si>
    <t>DISTRIBUTION PRÉCHAUFFE</t>
  </si>
  <si>
    <t>SMAT 2 (VOIR STAFF RS)</t>
  </si>
  <si>
    <t xml:space="preserve"> RANGEMENT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</si>
</sst>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4"/>
      <color rgb="FFFFFFFF"/>
      <name val="Arial"/>
      <family val="2"/>
    </font>
    <font>
      <i/>
      <sz val="9"/>
      <color rgb="FF595959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7F6000"/>
      <name val="Arial"/>
      <family val="2"/>
    </font>
    <font>
      <b/>
      <sz val="10"/>
      <color rgb="FF9C0006"/>
      <name val="Arial"/>
      <family val="2"/>
    </font>
    <font>
      <sz val="9"/>
      <name val="Arial"/>
      <family val="2"/>
    </font>
    <font>
      <b/>
      <sz val="10"/>
      <color rgb="FF375623"/>
      <name val="Arial"/>
      <family val="2"/>
    </font>
    <font>
      <b/>
      <sz val="10"/>
      <color rgb="FF5B2C8D"/>
      <name val="Arial"/>
      <family val="2"/>
    </font>
    <font>
      <b/>
      <sz val="10"/>
      <color rgb="FF1F4E79"/>
      <name val="Arial"/>
      <family val="2"/>
    </font>
    <font>
      <b/>
      <sz val="10"/>
      <color rgb="FF843C0C"/>
      <name val="Arial"/>
      <family val="2"/>
    </font>
    <font>
      <b/>
      <sz val="10"/>
      <color rgb="FF1F5B5E"/>
      <name val="Arial"/>
      <family val="2"/>
    </font>
    <font>
      <b/>
      <sz val="10"/>
      <color rgb="FF3F3151"/>
      <name val="Arial"/>
      <family val="2"/>
    </font>
    <font>
      <b/>
      <sz val="10"/>
      <color rgb="FF5A5424"/>
      <name val="Arial"/>
      <family val="2"/>
    </font>
    <font>
      <b/>
      <sz val="11"/>
      <color rgb="FF1F3864"/>
      <name val="Arial"/>
      <family val="2"/>
    </font>
    <font>
      <b/>
      <sz val="10"/>
      <color rgb="FF808080"/>
      <name val="Arial"/>
      <family val="2"/>
    </font>
    <font>
      <b/>
      <sz val="16"/>
      <color rgb="FFFFFFFF"/>
      <name val="Arial"/>
      <family val="2"/>
    </font>
    <font>
      <b/>
      <sz val="9"/>
      <color rgb="FFC00000"/>
      <name val="Arial"/>
      <family val="2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sz val="9"/>
      <color rgb="FF404040"/>
      <name val="Arial"/>
      <family val="2"/>
    </font>
    <font>
      <b/>
      <sz val="11"/>
      <name val="Arial"/>
      <family val="2"/>
    </font>
    <font>
      <b/>
      <sz val="10"/>
      <color rgb="FF1F3864"/>
      <name val="Arial"/>
      <family val="2"/>
    </font>
    <font>
      <b/>
      <sz val="11"/>
      <color rgb="FF1F4E79"/>
      <name val="Arial"/>
      <family val="2"/>
    </font>
    <font>
      <b/>
      <sz val="12"/>
      <color rgb="FF1F4E79"/>
      <name val="Arial"/>
      <family val="2"/>
    </font>
    <font>
      <b/>
      <sz val="12"/>
      <color rgb="FFC00000"/>
      <name val="Arial"/>
      <family val="2"/>
    </font>
    <font>
      <b/>
      <sz val="11"/>
      <color rgb="FFC00000"/>
      <name val="Arial"/>
      <family val="2"/>
    </font>
    <font>
      <sz val="10"/>
      <color rgb="FF000000"/>
      <name val="Arial"/>
      <family val="2"/>
    </font>
    <font>
      <b/>
      <sz val="10"/>
      <color theme="9" tint="-0.499984740745262"/>
      <name val="Arial"/>
      <family val="2"/>
    </font>
    <font>
      <b/>
      <sz val="10"/>
      <color theme="3" tint="-0.249977111117893"/>
      <name val="Arial"/>
      <family val="2"/>
    </font>
    <font>
      <b/>
      <sz val="10"/>
      <color theme="1"/>
      <name val="Arial"/>
      <family val="2"/>
    </font>
    <font>
      <b/>
      <sz val="10"/>
      <color theme="6" tint="-0.499984740745262"/>
      <name val="Arial"/>
      <family val="2"/>
    </font>
    <font>
      <b/>
      <sz val="10"/>
      <color theme="3"/>
      <name val="Arial"/>
      <family val="2"/>
    </font>
    <font>
      <b/>
      <sz val="10"/>
      <color theme="2" tint="-0.749992370372631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2E5C8A"/>
        <bgColor rgb="FF1F4E79"/>
      </patternFill>
    </fill>
    <fill>
      <patternFill patternType="solid">
        <fgColor rgb="FFFFF2CC"/>
        <bgColor rgb="FFF2F2F2"/>
      </patternFill>
    </fill>
    <fill>
      <patternFill patternType="solid">
        <fgColor rgb="FFFFC7CE"/>
        <bgColor rgb="FFFFE0B2"/>
      </patternFill>
    </fill>
    <fill>
      <patternFill patternType="solid">
        <fgColor rgb="FFC6E0B4"/>
        <bgColor rgb="FFDDD9C4"/>
      </patternFill>
    </fill>
    <fill>
      <patternFill patternType="solid">
        <fgColor rgb="FFE4D7F5"/>
        <bgColor rgb="FFD9D2E9"/>
      </patternFill>
    </fill>
    <fill>
      <patternFill patternType="solid">
        <fgColor rgb="FFBDD7EE"/>
        <bgColor rgb="FFB7E1E4"/>
      </patternFill>
    </fill>
    <fill>
      <patternFill patternType="solid">
        <fgColor rgb="FFFFE0B2"/>
        <bgColor rgb="FFFFF2CC"/>
      </patternFill>
    </fill>
    <fill>
      <patternFill patternType="solid">
        <fgColor rgb="FFB7E1E4"/>
        <bgColor rgb="FFBDD7EE"/>
      </patternFill>
    </fill>
    <fill>
      <patternFill patternType="solid">
        <fgColor rgb="FFD9D2E9"/>
        <bgColor rgb="FFE4D7F5"/>
      </patternFill>
    </fill>
    <fill>
      <patternFill patternType="solid">
        <fgColor rgb="FFDDD9C4"/>
        <bgColor rgb="FFD9D2E9"/>
      </patternFill>
    </fill>
    <fill>
      <patternFill patternType="solid">
        <fgColor rgb="FFE7E6E6"/>
        <bgColor rgb="FFE2EFDA"/>
      </patternFill>
    </fill>
    <fill>
      <patternFill patternType="solid">
        <fgColor rgb="FFC00000"/>
        <bgColor rgb="FF9C0006"/>
      </patternFill>
    </fill>
    <fill>
      <patternFill patternType="solid">
        <fgColor rgb="FF44546A"/>
        <bgColor rgb="FF595959"/>
      </patternFill>
    </fill>
    <fill>
      <patternFill patternType="solid">
        <fgColor rgb="FFF2F2F2"/>
        <bgColor rgb="FFE7E6E6"/>
      </patternFill>
    </fill>
    <fill>
      <patternFill patternType="solid">
        <fgColor theme="8" tint="0.79998168889431442"/>
        <bgColor rgb="FFF2F2F2"/>
      </patternFill>
    </fill>
    <fill>
      <patternFill patternType="solid">
        <fgColor theme="8" tint="0.79998168889431442"/>
        <bgColor rgb="FFE4D7F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rgb="FFE4D7F5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rgb="FFE4D7F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rgb="FFE4D7F5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6" fillId="0" borderId="0" xfId="0" applyFont="1"/>
    <xf numFmtId="0" fontId="27" fillId="4" borderId="1" xfId="0" applyFont="1" applyFill="1" applyBorder="1"/>
    <xf numFmtId="0" fontId="5" fillId="0" borderId="0" xfId="0" applyFont="1"/>
    <xf numFmtId="0" fontId="20" fillId="0" borderId="0" xfId="0" applyFont="1"/>
    <xf numFmtId="0" fontId="4" fillId="3" borderId="1" xfId="0" applyFont="1" applyFill="1" applyBorder="1" applyAlignment="1">
      <alignment horizontal="center" vertical="center"/>
    </xf>
    <xf numFmtId="0" fontId="3" fillId="0" borderId="0" xfId="0" applyFont="1"/>
    <xf numFmtId="0" fontId="2" fillId="2" borderId="0" xfId="0" applyFont="1" applyFill="1" applyAlignment="1">
      <alignment horizontal="left" vertical="center" indent="1"/>
    </xf>
    <xf numFmtId="0" fontId="3" fillId="0" borderId="0" xfId="0" applyFont="1"/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/>
    <xf numFmtId="0" fontId="6" fillId="0" borderId="1" xfId="0" applyFont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8" fillId="5" borderId="1" xfId="0" applyFont="1" applyFill="1" applyBorder="1"/>
    <xf numFmtId="0" fontId="0" fillId="4" borderId="1" xfId="0" applyFill="1" applyBorder="1"/>
    <xf numFmtId="0" fontId="9" fillId="0" borderId="1" xfId="0" applyFont="1" applyBorder="1" applyAlignment="1">
      <alignment horizontal="center"/>
    </xf>
    <xf numFmtId="0" fontId="10" fillId="6" borderId="1" xfId="0" applyFont="1" applyFill="1" applyBorder="1"/>
    <xf numFmtId="0" fontId="11" fillId="7" borderId="1" xfId="0" applyFont="1" applyFill="1" applyBorder="1"/>
    <xf numFmtId="0" fontId="12" fillId="8" borderId="1" xfId="0" applyFont="1" applyFill="1" applyBorder="1"/>
    <xf numFmtId="0" fontId="13" fillId="9" borderId="1" xfId="0" applyFont="1" applyFill="1" applyBorder="1"/>
    <xf numFmtId="0" fontId="7" fillId="4" borderId="1" xfId="0" applyFont="1" applyFill="1" applyBorder="1"/>
    <xf numFmtId="0" fontId="14" fillId="10" borderId="1" xfId="0" applyFont="1" applyFill="1" applyBorder="1"/>
    <xf numFmtId="0" fontId="15" fillId="11" borderId="1" xfId="0" applyFont="1" applyFill="1" applyBorder="1"/>
    <xf numFmtId="0" fontId="16" fillId="12" borderId="1" xfId="0" applyFont="1" applyFill="1" applyBorder="1"/>
    <xf numFmtId="0" fontId="17" fillId="4" borderId="1" xfId="0" applyFont="1" applyFill="1" applyBorder="1" applyAlignment="1">
      <alignment horizontal="center" vertical="center"/>
    </xf>
    <xf numFmtId="0" fontId="18" fillId="13" borderId="1" xfId="0" applyFont="1" applyFill="1" applyBorder="1"/>
    <xf numFmtId="0" fontId="6" fillId="4" borderId="1" xfId="0" applyFont="1" applyFill="1" applyBorder="1"/>
    <xf numFmtId="0" fontId="5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21" fillId="3" borderId="1" xfId="0" applyFont="1" applyFill="1" applyBorder="1" applyAlignment="1">
      <alignment horizontal="center" vertical="center" wrapText="1"/>
    </xf>
    <xf numFmtId="0" fontId="22" fillId="14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left" vertical="center" wrapText="1" indent="1"/>
    </xf>
    <xf numFmtId="0" fontId="6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/>
    </xf>
    <xf numFmtId="0" fontId="25" fillId="16" borderId="1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/>
    </xf>
    <xf numFmtId="0" fontId="24" fillId="0" borderId="0" xfId="0" applyFont="1"/>
    <xf numFmtId="0" fontId="28" fillId="0" borderId="0" xfId="0" applyFont="1"/>
    <xf numFmtId="0" fontId="7" fillId="0" borderId="0" xfId="0" applyFont="1"/>
    <xf numFmtId="0" fontId="5" fillId="16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4" fillId="2" borderId="1" xfId="0" applyFont="1" applyFill="1" applyBorder="1"/>
    <xf numFmtId="0" fontId="21" fillId="2" borderId="1" xfId="0" applyFont="1" applyFill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1" fillId="4" borderId="1" xfId="0" applyFont="1" applyFill="1" applyBorder="1"/>
    <xf numFmtId="0" fontId="4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7" fillId="17" borderId="2" xfId="0" applyFont="1" applyFill="1" applyBorder="1" applyAlignment="1">
      <alignment horizontal="center" vertical="center"/>
    </xf>
    <xf numFmtId="0" fontId="15" fillId="18" borderId="1" xfId="0" applyFont="1" applyFill="1" applyBorder="1"/>
    <xf numFmtId="0" fontId="15" fillId="20" borderId="1" xfId="0" applyFont="1" applyFill="1" applyBorder="1"/>
    <xf numFmtId="0" fontId="5" fillId="21" borderId="1" xfId="0" applyFont="1" applyFill="1" applyBorder="1" applyAlignment="1">
      <alignment horizontal="center" vertical="center" wrapText="1"/>
    </xf>
    <xf numFmtId="0" fontId="19" fillId="2" borderId="0" xfId="0" applyFont="1" applyFill="1" applyAlignment="1">
      <alignment horizontal="center" vertical="center"/>
    </xf>
    <xf numFmtId="0" fontId="31" fillId="22" borderId="1" xfId="0" applyFont="1" applyFill="1" applyBorder="1" applyAlignment="1">
      <alignment horizontal="center" vertical="center" wrapText="1"/>
    </xf>
    <xf numFmtId="0" fontId="32" fillId="19" borderId="1" xfId="0" applyFont="1" applyFill="1" applyBorder="1" applyAlignment="1">
      <alignment horizontal="center" vertical="center" wrapText="1"/>
    </xf>
    <xf numFmtId="0" fontId="33" fillId="21" borderId="1" xfId="0" applyFont="1" applyFill="1" applyBorder="1" applyAlignment="1">
      <alignment horizontal="center" vertical="center" wrapText="1"/>
    </xf>
    <xf numFmtId="0" fontId="34" fillId="23" borderId="1" xfId="0" applyFont="1" applyFill="1" applyBorder="1"/>
    <xf numFmtId="0" fontId="34" fillId="24" borderId="1" xfId="0" applyFont="1" applyFill="1" applyBorder="1" applyAlignment="1">
      <alignment horizontal="center" vertical="center" wrapText="1"/>
    </xf>
    <xf numFmtId="0" fontId="31" fillId="25" borderId="1" xfId="0" applyFont="1" applyFill="1" applyBorder="1"/>
    <xf numFmtId="0" fontId="31" fillId="26" borderId="1" xfId="0" applyFont="1" applyFill="1" applyBorder="1" applyAlignment="1">
      <alignment horizontal="center" vertical="center" wrapText="1"/>
    </xf>
    <xf numFmtId="0" fontId="35" fillId="27" borderId="1" xfId="0" applyFont="1" applyFill="1" applyBorder="1" applyAlignment="1">
      <alignment horizontal="center" vertical="center" wrapText="1"/>
    </xf>
    <xf numFmtId="0" fontId="36" fillId="28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467">
    <dxf>
      <font>
        <b/>
        <sz val="10"/>
        <color rgb="FF808080"/>
        <name val="Arial"/>
        <charset val="1"/>
      </font>
      <fill>
        <patternFill>
          <bgColor rgb="FFE7E6E6"/>
        </patternFill>
      </fill>
    </dxf>
    <dxf>
      <font>
        <b/>
        <sz val="10"/>
        <color rgb="FF5A5424"/>
        <name val="Arial"/>
        <charset val="1"/>
      </font>
      <fill>
        <patternFill>
          <bgColor rgb="FFDDD9C4"/>
        </patternFill>
      </fill>
    </dxf>
    <dxf>
      <font>
        <b/>
        <sz val="10"/>
        <color rgb="FF3F3151"/>
        <name val="Arial"/>
        <charset val="1"/>
      </font>
      <fill>
        <patternFill>
          <bgColor rgb="FFD9D2E9"/>
        </patternFill>
      </fill>
    </dxf>
    <dxf>
      <font>
        <b/>
        <sz val="10"/>
        <color rgb="FF1F5B5E"/>
        <name val="Arial"/>
        <charset val="1"/>
      </font>
      <fill>
        <patternFill>
          <bgColor rgb="FFB7E1E4"/>
        </patternFill>
      </fill>
    </dxf>
    <dxf>
      <font>
        <b/>
        <sz val="10"/>
        <color rgb="FF7F6000"/>
        <name val="Arial"/>
        <charset val="1"/>
      </font>
      <fill>
        <patternFill>
          <bgColor rgb="FFFFF2CC"/>
        </patternFill>
      </fill>
    </dxf>
    <dxf>
      <font>
        <b/>
        <sz val="10"/>
        <color rgb="FF843C0C"/>
        <name val="Arial"/>
        <charset val="1"/>
      </font>
      <fill>
        <patternFill>
          <bgColor rgb="FFFFE0B2"/>
        </patternFill>
      </fill>
    </dxf>
    <dxf>
      <font>
        <b/>
        <sz val="10"/>
        <color rgb="FF1F4E79"/>
        <name val="Arial"/>
        <charset val="1"/>
      </font>
      <fill>
        <patternFill>
          <bgColor rgb="FFBDD7EE"/>
        </patternFill>
      </fill>
    </dxf>
    <dxf>
      <font>
        <b/>
        <sz val="10"/>
        <color rgb="FF5B2C8D"/>
        <name val="Arial"/>
        <charset val="1"/>
      </font>
      <fill>
        <patternFill>
          <bgColor rgb="FFE4D7F5"/>
        </patternFill>
      </fill>
    </dxf>
    <dxf>
      <font>
        <b/>
        <sz val="10"/>
        <color rgb="FF375623"/>
        <name val="Arial"/>
        <charset val="1"/>
      </font>
      <fill>
        <patternFill>
          <bgColor rgb="FFC6E0B4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808080"/>
        <name val="Arial"/>
        <charset val="1"/>
      </font>
      <fill>
        <patternFill>
          <bgColor rgb="FFE7E6E6"/>
        </patternFill>
      </fill>
    </dxf>
    <dxf>
      <font>
        <b/>
        <sz val="10"/>
        <color rgb="FF5A5424"/>
        <name val="Arial"/>
        <charset val="1"/>
      </font>
      <fill>
        <patternFill>
          <bgColor rgb="FFDDD9C4"/>
        </patternFill>
      </fill>
    </dxf>
    <dxf>
      <font>
        <b/>
        <sz val="10"/>
        <color rgb="FF3F3151"/>
        <name val="Arial"/>
        <charset val="1"/>
      </font>
      <fill>
        <patternFill>
          <bgColor rgb="FFD9D2E9"/>
        </patternFill>
      </fill>
    </dxf>
    <dxf>
      <font>
        <b/>
        <sz val="10"/>
        <color rgb="FF1F5B5E"/>
        <name val="Arial"/>
        <charset val="1"/>
      </font>
      <fill>
        <patternFill>
          <bgColor rgb="FFB7E1E4"/>
        </patternFill>
      </fill>
    </dxf>
    <dxf>
      <font>
        <b/>
        <sz val="10"/>
        <color rgb="FF7F6000"/>
        <name val="Arial"/>
        <charset val="1"/>
      </font>
      <fill>
        <patternFill>
          <bgColor rgb="FFFFF2CC"/>
        </patternFill>
      </fill>
    </dxf>
    <dxf>
      <font>
        <b/>
        <sz val="10"/>
        <color rgb="FF843C0C"/>
        <name val="Arial"/>
        <charset val="1"/>
      </font>
      <fill>
        <patternFill>
          <bgColor rgb="FFFFE0B2"/>
        </patternFill>
      </fill>
    </dxf>
    <dxf>
      <font>
        <b/>
        <sz val="10"/>
        <color rgb="FF1F4E79"/>
        <name val="Arial"/>
        <charset val="1"/>
      </font>
      <fill>
        <patternFill>
          <bgColor rgb="FFBDD7EE"/>
        </patternFill>
      </fill>
    </dxf>
    <dxf>
      <font>
        <b/>
        <sz val="10"/>
        <color rgb="FF5B2C8D"/>
        <name val="Arial"/>
        <charset val="1"/>
      </font>
      <fill>
        <patternFill>
          <bgColor rgb="FFE4D7F5"/>
        </patternFill>
      </fill>
    </dxf>
    <dxf>
      <font>
        <b/>
        <sz val="10"/>
        <color rgb="FF375623"/>
        <name val="Arial"/>
        <charset val="1"/>
      </font>
      <fill>
        <patternFill>
          <bgColor rgb="FFC6E0B4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808080"/>
        <name val="Arial"/>
        <charset val="1"/>
      </font>
      <fill>
        <patternFill>
          <bgColor rgb="FFE7E6E6"/>
        </patternFill>
      </fill>
    </dxf>
    <dxf>
      <font>
        <b/>
        <sz val="10"/>
        <color rgb="FF5A5424"/>
        <name val="Arial"/>
        <charset val="1"/>
      </font>
      <fill>
        <patternFill>
          <bgColor rgb="FFDDD9C4"/>
        </patternFill>
      </fill>
    </dxf>
    <dxf>
      <font>
        <b/>
        <sz val="10"/>
        <color rgb="FF3F3151"/>
        <name val="Arial"/>
        <charset val="1"/>
      </font>
      <fill>
        <patternFill>
          <bgColor rgb="FFD9D2E9"/>
        </patternFill>
      </fill>
    </dxf>
    <dxf>
      <font>
        <b/>
        <sz val="10"/>
        <color rgb="FF1F5B5E"/>
        <name val="Arial"/>
        <charset val="1"/>
      </font>
      <fill>
        <patternFill>
          <bgColor rgb="FFB7E1E4"/>
        </patternFill>
      </fill>
    </dxf>
    <dxf>
      <font>
        <b/>
        <sz val="10"/>
        <color rgb="FF7F6000"/>
        <name val="Arial"/>
        <charset val="1"/>
      </font>
      <fill>
        <patternFill>
          <bgColor rgb="FFFFF2CC"/>
        </patternFill>
      </fill>
    </dxf>
    <dxf>
      <font>
        <b/>
        <sz val="10"/>
        <color rgb="FF843C0C"/>
        <name val="Arial"/>
        <charset val="1"/>
      </font>
      <fill>
        <patternFill>
          <bgColor rgb="FFFFE0B2"/>
        </patternFill>
      </fill>
    </dxf>
    <dxf>
      <font>
        <b/>
        <sz val="10"/>
        <color rgb="FF1F4E79"/>
        <name val="Arial"/>
        <charset val="1"/>
      </font>
      <fill>
        <patternFill>
          <bgColor rgb="FFBDD7EE"/>
        </patternFill>
      </fill>
    </dxf>
    <dxf>
      <font>
        <b/>
        <sz val="10"/>
        <color rgb="FF5B2C8D"/>
        <name val="Arial"/>
        <charset val="1"/>
      </font>
      <fill>
        <patternFill>
          <bgColor rgb="FFE4D7F5"/>
        </patternFill>
      </fill>
    </dxf>
    <dxf>
      <font>
        <b/>
        <sz val="10"/>
        <color rgb="FF375623"/>
        <name val="Arial"/>
        <charset val="1"/>
      </font>
      <fill>
        <patternFill>
          <bgColor rgb="FFC6E0B4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808080"/>
        <name val="Arial"/>
        <charset val="1"/>
      </font>
      <fill>
        <patternFill>
          <bgColor rgb="FFE7E6E6"/>
        </patternFill>
      </fill>
    </dxf>
    <dxf>
      <font>
        <b/>
        <sz val="10"/>
        <color rgb="FF5A5424"/>
        <name val="Arial"/>
        <charset val="1"/>
      </font>
      <fill>
        <patternFill>
          <bgColor rgb="FFDDD9C4"/>
        </patternFill>
      </fill>
    </dxf>
    <dxf>
      <font>
        <b/>
        <sz val="10"/>
        <color rgb="FF3F3151"/>
        <name val="Arial"/>
        <charset val="1"/>
      </font>
      <fill>
        <patternFill>
          <bgColor rgb="FFD9D2E9"/>
        </patternFill>
      </fill>
    </dxf>
    <dxf>
      <font>
        <b/>
        <sz val="10"/>
        <color rgb="FF1F5B5E"/>
        <name val="Arial"/>
        <charset val="1"/>
      </font>
      <fill>
        <patternFill>
          <bgColor rgb="FFB7E1E4"/>
        </patternFill>
      </fill>
    </dxf>
    <dxf>
      <font>
        <b/>
        <sz val="10"/>
        <color rgb="FF7F6000"/>
        <name val="Arial"/>
        <charset val="1"/>
      </font>
      <fill>
        <patternFill>
          <bgColor rgb="FFFFF2CC"/>
        </patternFill>
      </fill>
    </dxf>
    <dxf>
      <font>
        <b/>
        <sz val="10"/>
        <color rgb="FF843C0C"/>
        <name val="Arial"/>
        <charset val="1"/>
      </font>
      <fill>
        <patternFill>
          <bgColor rgb="FFFFE0B2"/>
        </patternFill>
      </fill>
    </dxf>
    <dxf>
      <font>
        <b/>
        <sz val="10"/>
        <color rgb="FF1F4E79"/>
        <name val="Arial"/>
        <charset val="1"/>
      </font>
      <fill>
        <patternFill>
          <bgColor rgb="FFBDD7EE"/>
        </patternFill>
      </fill>
    </dxf>
    <dxf>
      <font>
        <b/>
        <sz val="10"/>
        <color rgb="FF5B2C8D"/>
        <name val="Arial"/>
        <charset val="1"/>
      </font>
      <fill>
        <patternFill>
          <bgColor rgb="FFE4D7F5"/>
        </patternFill>
      </fill>
    </dxf>
    <dxf>
      <font>
        <b/>
        <sz val="10"/>
        <color rgb="FF375623"/>
        <name val="Arial"/>
        <charset val="1"/>
      </font>
      <fill>
        <patternFill>
          <bgColor rgb="FFC6E0B4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808080"/>
        <name val="Arial"/>
        <charset val="1"/>
      </font>
      <fill>
        <patternFill>
          <bgColor rgb="FFE7E6E6"/>
        </patternFill>
      </fill>
    </dxf>
    <dxf>
      <font>
        <b/>
        <sz val="10"/>
        <color rgb="FF5A5424"/>
        <name val="Arial"/>
        <charset val="1"/>
      </font>
      <fill>
        <patternFill>
          <bgColor rgb="FFDDD9C4"/>
        </patternFill>
      </fill>
    </dxf>
    <dxf>
      <font>
        <b/>
        <sz val="10"/>
        <color rgb="FF3F3151"/>
        <name val="Arial"/>
        <charset val="1"/>
      </font>
      <fill>
        <patternFill>
          <bgColor rgb="FFD9D2E9"/>
        </patternFill>
      </fill>
    </dxf>
    <dxf>
      <font>
        <b/>
        <sz val="10"/>
        <color rgb="FF1F5B5E"/>
        <name val="Arial"/>
        <charset val="1"/>
      </font>
      <fill>
        <patternFill>
          <bgColor rgb="FFB7E1E4"/>
        </patternFill>
      </fill>
    </dxf>
    <dxf>
      <font>
        <b/>
        <sz val="10"/>
        <color rgb="FF7F6000"/>
        <name val="Arial"/>
        <charset val="1"/>
      </font>
      <fill>
        <patternFill>
          <bgColor rgb="FFFFF2CC"/>
        </patternFill>
      </fill>
    </dxf>
    <dxf>
      <font>
        <b/>
        <sz val="10"/>
        <color rgb="FF843C0C"/>
        <name val="Arial"/>
        <charset val="1"/>
      </font>
      <fill>
        <patternFill>
          <bgColor rgb="FFFFE0B2"/>
        </patternFill>
      </fill>
    </dxf>
    <dxf>
      <font>
        <b/>
        <sz val="10"/>
        <color rgb="FF1F4E79"/>
        <name val="Arial"/>
        <charset val="1"/>
      </font>
      <fill>
        <patternFill>
          <bgColor rgb="FFBDD7EE"/>
        </patternFill>
      </fill>
    </dxf>
    <dxf>
      <font>
        <b/>
        <sz val="10"/>
        <color rgb="FF5B2C8D"/>
        <name val="Arial"/>
        <charset val="1"/>
      </font>
      <fill>
        <patternFill>
          <bgColor rgb="FFE4D7F5"/>
        </patternFill>
      </fill>
    </dxf>
    <dxf>
      <font>
        <b/>
        <sz val="10"/>
        <color rgb="FF375623"/>
        <name val="Arial"/>
        <charset val="1"/>
      </font>
      <fill>
        <patternFill>
          <bgColor rgb="FFC6E0B4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808080"/>
        <name val="Arial"/>
        <charset val="1"/>
      </font>
      <fill>
        <patternFill>
          <bgColor rgb="FFE7E6E6"/>
        </patternFill>
      </fill>
    </dxf>
    <dxf>
      <font>
        <b/>
        <sz val="10"/>
        <color rgb="FF5A5424"/>
        <name val="Arial"/>
        <charset val="1"/>
      </font>
      <fill>
        <patternFill>
          <bgColor rgb="FFDDD9C4"/>
        </patternFill>
      </fill>
    </dxf>
    <dxf>
      <font>
        <b/>
        <sz val="10"/>
        <color rgb="FF3F3151"/>
        <name val="Arial"/>
        <charset val="1"/>
      </font>
      <fill>
        <patternFill>
          <bgColor rgb="FFD9D2E9"/>
        </patternFill>
      </fill>
    </dxf>
    <dxf>
      <font>
        <b/>
        <sz val="10"/>
        <color rgb="FF1F5B5E"/>
        <name val="Arial"/>
        <charset val="1"/>
      </font>
      <fill>
        <patternFill>
          <bgColor rgb="FFB7E1E4"/>
        </patternFill>
      </fill>
    </dxf>
    <dxf>
      <font>
        <b/>
        <sz val="10"/>
        <color rgb="FF7F6000"/>
        <name val="Arial"/>
        <charset val="1"/>
      </font>
      <fill>
        <patternFill>
          <bgColor rgb="FFFFF2CC"/>
        </patternFill>
      </fill>
    </dxf>
    <dxf>
      <font>
        <b/>
        <sz val="10"/>
        <color rgb="FF843C0C"/>
        <name val="Arial"/>
        <charset val="1"/>
      </font>
      <fill>
        <patternFill>
          <bgColor rgb="FFFFE0B2"/>
        </patternFill>
      </fill>
    </dxf>
    <dxf>
      <font>
        <b/>
        <sz val="10"/>
        <color rgb="FF1F4E79"/>
        <name val="Arial"/>
        <charset val="1"/>
      </font>
      <fill>
        <patternFill>
          <bgColor rgb="FFBDD7EE"/>
        </patternFill>
      </fill>
    </dxf>
    <dxf>
      <font>
        <b/>
        <sz val="10"/>
        <color rgb="FF5B2C8D"/>
        <name val="Arial"/>
        <charset val="1"/>
      </font>
      <fill>
        <patternFill>
          <bgColor rgb="FFE4D7F5"/>
        </patternFill>
      </fill>
    </dxf>
    <dxf>
      <font>
        <b/>
        <sz val="10"/>
        <color rgb="FF375623"/>
        <name val="Arial"/>
        <charset val="1"/>
      </font>
      <fill>
        <patternFill>
          <bgColor rgb="FFC6E0B4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808080"/>
        <name val="Arial"/>
        <charset val="1"/>
      </font>
      <fill>
        <patternFill>
          <bgColor rgb="FFE7E6E6"/>
        </patternFill>
      </fill>
    </dxf>
    <dxf>
      <font>
        <b/>
        <sz val="10"/>
        <color rgb="FF5A5424"/>
        <name val="Arial"/>
        <charset val="1"/>
      </font>
      <fill>
        <patternFill>
          <bgColor rgb="FFDDD9C4"/>
        </patternFill>
      </fill>
    </dxf>
    <dxf>
      <font>
        <b/>
        <sz val="10"/>
        <color rgb="FF3F3151"/>
        <name val="Arial"/>
        <charset val="1"/>
      </font>
      <fill>
        <patternFill>
          <bgColor rgb="FFD9D2E9"/>
        </patternFill>
      </fill>
    </dxf>
    <dxf>
      <font>
        <b/>
        <sz val="10"/>
        <color rgb="FF1F5B5E"/>
        <name val="Arial"/>
        <charset val="1"/>
      </font>
      <fill>
        <patternFill>
          <bgColor rgb="FFB7E1E4"/>
        </patternFill>
      </fill>
    </dxf>
    <dxf>
      <font>
        <b/>
        <sz val="10"/>
        <color rgb="FF7F6000"/>
        <name val="Arial"/>
        <charset val="1"/>
      </font>
      <fill>
        <patternFill>
          <bgColor rgb="FFFFF2CC"/>
        </patternFill>
      </fill>
    </dxf>
    <dxf>
      <font>
        <b/>
        <sz val="10"/>
        <color rgb="FF843C0C"/>
        <name val="Arial"/>
        <charset val="1"/>
      </font>
      <fill>
        <patternFill>
          <bgColor rgb="FFFFE0B2"/>
        </patternFill>
      </fill>
    </dxf>
    <dxf>
      <font>
        <b/>
        <sz val="10"/>
        <color rgb="FF1F4E79"/>
        <name val="Arial"/>
        <charset val="1"/>
      </font>
      <fill>
        <patternFill>
          <bgColor rgb="FFBDD7EE"/>
        </patternFill>
      </fill>
    </dxf>
    <dxf>
      <font>
        <b/>
        <sz val="10"/>
        <color rgb="FF5B2C8D"/>
        <name val="Arial"/>
        <charset val="1"/>
      </font>
      <fill>
        <patternFill>
          <bgColor rgb="FFE4D7F5"/>
        </patternFill>
      </fill>
    </dxf>
    <dxf>
      <font>
        <b/>
        <sz val="10"/>
        <color rgb="FF375623"/>
        <name val="Arial"/>
        <charset val="1"/>
      </font>
      <fill>
        <patternFill>
          <bgColor rgb="FFC6E0B4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808080"/>
        <name val="Arial"/>
        <charset val="1"/>
      </font>
      <fill>
        <patternFill>
          <bgColor rgb="FFE7E6E6"/>
        </patternFill>
      </fill>
    </dxf>
    <dxf>
      <font>
        <b/>
        <sz val="10"/>
        <color rgb="FF5A5424"/>
        <name val="Arial"/>
        <charset val="1"/>
      </font>
      <fill>
        <patternFill>
          <bgColor rgb="FFDDD9C4"/>
        </patternFill>
      </fill>
    </dxf>
    <dxf>
      <font>
        <b/>
        <sz val="10"/>
        <color rgb="FF3F3151"/>
        <name val="Arial"/>
        <charset val="1"/>
      </font>
      <fill>
        <patternFill>
          <bgColor rgb="FFD9D2E9"/>
        </patternFill>
      </fill>
    </dxf>
    <dxf>
      <font>
        <b/>
        <sz val="10"/>
        <color rgb="FF1F5B5E"/>
        <name val="Arial"/>
        <charset val="1"/>
      </font>
      <fill>
        <patternFill>
          <bgColor rgb="FFB7E1E4"/>
        </patternFill>
      </fill>
    </dxf>
    <dxf>
      <font>
        <b/>
        <sz val="10"/>
        <color rgb="FF7F6000"/>
        <name val="Arial"/>
        <charset val="1"/>
      </font>
      <fill>
        <patternFill>
          <bgColor rgb="FFFFF2CC"/>
        </patternFill>
      </fill>
    </dxf>
    <dxf>
      <font>
        <b/>
        <sz val="10"/>
        <color rgb="FF843C0C"/>
        <name val="Arial"/>
        <charset val="1"/>
      </font>
      <fill>
        <patternFill>
          <bgColor rgb="FFFFE0B2"/>
        </patternFill>
      </fill>
    </dxf>
    <dxf>
      <font>
        <b/>
        <sz val="10"/>
        <color rgb="FF1F4E79"/>
        <name val="Arial"/>
        <charset val="1"/>
      </font>
      <fill>
        <patternFill>
          <bgColor rgb="FFBDD7EE"/>
        </patternFill>
      </fill>
    </dxf>
    <dxf>
      <font>
        <b/>
        <sz val="10"/>
        <color rgb="FF5B2C8D"/>
        <name val="Arial"/>
        <charset val="1"/>
      </font>
      <fill>
        <patternFill>
          <bgColor rgb="FFE4D7F5"/>
        </patternFill>
      </fill>
    </dxf>
    <dxf>
      <font>
        <b/>
        <sz val="10"/>
        <color rgb="FF375623"/>
        <name val="Arial"/>
        <charset val="1"/>
      </font>
      <fill>
        <patternFill>
          <bgColor rgb="FFC6E0B4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808080"/>
        <name val="Arial"/>
        <charset val="1"/>
      </font>
      <fill>
        <patternFill>
          <bgColor rgb="FFE7E6E6"/>
        </patternFill>
      </fill>
    </dxf>
    <dxf>
      <font>
        <b/>
        <sz val="10"/>
        <color rgb="FF5A5424"/>
        <name val="Arial"/>
        <charset val="1"/>
      </font>
      <fill>
        <patternFill>
          <bgColor rgb="FFDDD9C4"/>
        </patternFill>
      </fill>
    </dxf>
    <dxf>
      <font>
        <b/>
        <sz val="10"/>
        <color rgb="FF3F3151"/>
        <name val="Arial"/>
        <charset val="1"/>
      </font>
      <fill>
        <patternFill>
          <bgColor rgb="FFD9D2E9"/>
        </patternFill>
      </fill>
    </dxf>
    <dxf>
      <font>
        <b/>
        <sz val="10"/>
        <color rgb="FF1F5B5E"/>
        <name val="Arial"/>
        <charset val="1"/>
      </font>
      <fill>
        <patternFill>
          <bgColor rgb="FFB7E1E4"/>
        </patternFill>
      </fill>
    </dxf>
    <dxf>
      <font>
        <b/>
        <sz val="10"/>
        <color rgb="FF7F6000"/>
        <name val="Arial"/>
        <charset val="1"/>
      </font>
      <fill>
        <patternFill>
          <bgColor rgb="FFFFF2CC"/>
        </patternFill>
      </fill>
    </dxf>
    <dxf>
      <font>
        <b/>
        <sz val="10"/>
        <color rgb="FF843C0C"/>
        <name val="Arial"/>
        <charset val="1"/>
      </font>
      <fill>
        <patternFill>
          <bgColor rgb="FFFFE0B2"/>
        </patternFill>
      </fill>
    </dxf>
    <dxf>
      <font>
        <b/>
        <sz val="10"/>
        <color rgb="FF1F4E79"/>
        <name val="Arial"/>
        <charset val="1"/>
      </font>
      <fill>
        <patternFill>
          <bgColor rgb="FFBDD7EE"/>
        </patternFill>
      </fill>
    </dxf>
    <dxf>
      <font>
        <b/>
        <sz val="10"/>
        <color rgb="FF5B2C8D"/>
        <name val="Arial"/>
        <charset val="1"/>
      </font>
      <fill>
        <patternFill>
          <bgColor rgb="FFE4D7F5"/>
        </patternFill>
      </fill>
    </dxf>
    <dxf>
      <font>
        <b/>
        <sz val="10"/>
        <color rgb="FF375623"/>
        <name val="Arial"/>
        <charset val="1"/>
      </font>
      <fill>
        <patternFill>
          <bgColor rgb="FFC6E0B4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808080"/>
        <name val="Arial"/>
        <charset val="1"/>
      </font>
      <fill>
        <patternFill>
          <bgColor rgb="FFE7E6E6"/>
        </patternFill>
      </fill>
    </dxf>
    <dxf>
      <font>
        <b/>
        <sz val="10"/>
        <color rgb="FF5A5424"/>
        <name val="Arial"/>
        <charset val="1"/>
      </font>
      <fill>
        <patternFill>
          <bgColor rgb="FFDDD9C4"/>
        </patternFill>
      </fill>
    </dxf>
    <dxf>
      <font>
        <b/>
        <sz val="10"/>
        <color rgb="FF3F3151"/>
        <name val="Arial"/>
        <charset val="1"/>
      </font>
      <fill>
        <patternFill>
          <bgColor rgb="FFD9D2E9"/>
        </patternFill>
      </fill>
    </dxf>
    <dxf>
      <font>
        <b/>
        <sz val="10"/>
        <color rgb="FF1F5B5E"/>
        <name val="Arial"/>
        <charset val="1"/>
      </font>
      <fill>
        <patternFill>
          <bgColor rgb="FFB7E1E4"/>
        </patternFill>
      </fill>
    </dxf>
    <dxf>
      <font>
        <b/>
        <sz val="10"/>
        <color rgb="FF7F6000"/>
        <name val="Arial"/>
        <charset val="1"/>
      </font>
      <fill>
        <patternFill>
          <bgColor rgb="FFFFF2CC"/>
        </patternFill>
      </fill>
    </dxf>
    <dxf>
      <font>
        <b/>
        <sz val="10"/>
        <color rgb="FF843C0C"/>
        <name val="Arial"/>
        <charset val="1"/>
      </font>
      <fill>
        <patternFill>
          <bgColor rgb="FFFFE0B2"/>
        </patternFill>
      </fill>
    </dxf>
    <dxf>
      <font>
        <b/>
        <sz val="10"/>
        <color rgb="FF1F4E79"/>
        <name val="Arial"/>
        <charset val="1"/>
      </font>
      <fill>
        <patternFill>
          <bgColor rgb="FFBDD7EE"/>
        </patternFill>
      </fill>
    </dxf>
    <dxf>
      <font>
        <b/>
        <sz val="10"/>
        <color rgb="FF5B2C8D"/>
        <name val="Arial"/>
        <charset val="1"/>
      </font>
      <fill>
        <patternFill>
          <bgColor rgb="FFE4D7F5"/>
        </patternFill>
      </fill>
    </dxf>
    <dxf>
      <font>
        <b/>
        <sz val="10"/>
        <color rgb="FF375623"/>
        <name val="Arial"/>
        <charset val="1"/>
      </font>
      <fill>
        <patternFill>
          <bgColor rgb="FFC6E0B4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808080"/>
        <name val="Arial"/>
        <charset val="1"/>
      </font>
      <fill>
        <patternFill>
          <bgColor rgb="FFE7E6E6"/>
        </patternFill>
      </fill>
    </dxf>
    <dxf>
      <font>
        <b/>
        <sz val="10"/>
        <color rgb="FF5A5424"/>
        <name val="Arial"/>
        <charset val="1"/>
      </font>
      <fill>
        <patternFill>
          <bgColor rgb="FFDDD9C4"/>
        </patternFill>
      </fill>
    </dxf>
    <dxf>
      <font>
        <b/>
        <sz val="10"/>
        <color rgb="FF3F3151"/>
        <name val="Arial"/>
        <charset val="1"/>
      </font>
      <fill>
        <patternFill>
          <bgColor rgb="FFD9D2E9"/>
        </patternFill>
      </fill>
    </dxf>
    <dxf>
      <font>
        <b/>
        <sz val="10"/>
        <color rgb="FF1F5B5E"/>
        <name val="Arial"/>
        <charset val="1"/>
      </font>
      <fill>
        <patternFill>
          <bgColor rgb="FFB7E1E4"/>
        </patternFill>
      </fill>
    </dxf>
    <dxf>
      <font>
        <b/>
        <sz val="10"/>
        <color rgb="FF7F6000"/>
        <name val="Arial"/>
        <charset val="1"/>
      </font>
      <fill>
        <patternFill>
          <bgColor rgb="FFFFF2CC"/>
        </patternFill>
      </fill>
    </dxf>
    <dxf>
      <font>
        <b/>
        <sz val="10"/>
        <color rgb="FF843C0C"/>
        <name val="Arial"/>
        <charset val="1"/>
      </font>
      <fill>
        <patternFill>
          <bgColor rgb="FFFFE0B2"/>
        </patternFill>
      </fill>
    </dxf>
    <dxf>
      <font>
        <b/>
        <sz val="10"/>
        <color rgb="FF1F4E79"/>
        <name val="Arial"/>
        <charset val="1"/>
      </font>
      <fill>
        <patternFill>
          <bgColor rgb="FFBDD7EE"/>
        </patternFill>
      </fill>
    </dxf>
    <dxf>
      <font>
        <b/>
        <sz val="10"/>
        <color rgb="FF5B2C8D"/>
        <name val="Arial"/>
        <charset val="1"/>
      </font>
      <fill>
        <patternFill>
          <bgColor rgb="FFE4D7F5"/>
        </patternFill>
      </fill>
    </dxf>
    <dxf>
      <font>
        <b/>
        <sz val="10"/>
        <color rgb="FF375623"/>
        <name val="Arial"/>
        <charset val="1"/>
      </font>
      <fill>
        <patternFill>
          <bgColor rgb="FFC6E0B4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808080"/>
        <name val="Arial"/>
        <charset val="1"/>
      </font>
      <fill>
        <patternFill>
          <bgColor rgb="FFE7E6E6"/>
        </patternFill>
      </fill>
    </dxf>
    <dxf>
      <font>
        <b/>
        <sz val="10"/>
        <color rgb="FF5A5424"/>
        <name val="Arial"/>
        <charset val="1"/>
      </font>
      <fill>
        <patternFill>
          <bgColor rgb="FFDDD9C4"/>
        </patternFill>
      </fill>
    </dxf>
    <dxf>
      <font>
        <b/>
        <sz val="10"/>
        <color rgb="FF3F3151"/>
        <name val="Arial"/>
        <charset val="1"/>
      </font>
      <fill>
        <patternFill>
          <bgColor rgb="FFD9D2E9"/>
        </patternFill>
      </fill>
    </dxf>
    <dxf>
      <font>
        <b/>
        <sz val="10"/>
        <color rgb="FF1F5B5E"/>
        <name val="Arial"/>
        <charset val="1"/>
      </font>
      <fill>
        <patternFill>
          <bgColor rgb="FFB7E1E4"/>
        </patternFill>
      </fill>
    </dxf>
    <dxf>
      <font>
        <b/>
        <sz val="10"/>
        <color rgb="FF7F6000"/>
        <name val="Arial"/>
        <charset val="1"/>
      </font>
      <fill>
        <patternFill>
          <bgColor rgb="FFFFF2CC"/>
        </patternFill>
      </fill>
    </dxf>
    <dxf>
      <font>
        <b/>
        <sz val="10"/>
        <color rgb="FF843C0C"/>
        <name val="Arial"/>
        <charset val="1"/>
      </font>
      <fill>
        <patternFill>
          <bgColor rgb="FFFFE0B2"/>
        </patternFill>
      </fill>
    </dxf>
    <dxf>
      <font>
        <b/>
        <sz val="10"/>
        <color rgb="FF1F4E79"/>
        <name val="Arial"/>
        <charset val="1"/>
      </font>
      <fill>
        <patternFill>
          <bgColor rgb="FFBDD7EE"/>
        </patternFill>
      </fill>
    </dxf>
    <dxf>
      <font>
        <b/>
        <sz val="10"/>
        <color rgb="FF5B2C8D"/>
        <name val="Arial"/>
        <charset val="1"/>
      </font>
      <fill>
        <patternFill>
          <bgColor rgb="FFE4D7F5"/>
        </patternFill>
      </fill>
    </dxf>
    <dxf>
      <font>
        <b/>
        <sz val="10"/>
        <color rgb="FF375623"/>
        <name val="Arial"/>
        <charset val="1"/>
      </font>
      <fill>
        <patternFill>
          <bgColor rgb="FFC6E0B4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808080"/>
        <name val="Arial"/>
        <charset val="1"/>
      </font>
      <fill>
        <patternFill>
          <bgColor rgb="FFE7E6E6"/>
        </patternFill>
      </fill>
    </dxf>
    <dxf>
      <font>
        <b/>
        <sz val="10"/>
        <color rgb="FF5A5424"/>
        <name val="Arial"/>
        <charset val="1"/>
      </font>
      <fill>
        <patternFill>
          <bgColor rgb="FFDDD9C4"/>
        </patternFill>
      </fill>
    </dxf>
    <dxf>
      <font>
        <b/>
        <sz val="10"/>
        <color rgb="FF3F3151"/>
        <name val="Arial"/>
        <charset val="1"/>
      </font>
      <fill>
        <patternFill>
          <bgColor rgb="FFD9D2E9"/>
        </patternFill>
      </fill>
    </dxf>
    <dxf>
      <font>
        <b/>
        <sz val="10"/>
        <color rgb="FF1F5B5E"/>
        <name val="Arial"/>
        <charset val="1"/>
      </font>
      <fill>
        <patternFill>
          <bgColor rgb="FFB7E1E4"/>
        </patternFill>
      </fill>
    </dxf>
    <dxf>
      <font>
        <b/>
        <sz val="10"/>
        <color rgb="FF7F6000"/>
        <name val="Arial"/>
        <charset val="1"/>
      </font>
      <fill>
        <patternFill>
          <bgColor rgb="FFFFF2CC"/>
        </patternFill>
      </fill>
    </dxf>
    <dxf>
      <font>
        <b/>
        <sz val="10"/>
        <color rgb="FF843C0C"/>
        <name val="Arial"/>
        <charset val="1"/>
      </font>
      <fill>
        <patternFill>
          <bgColor rgb="FFFFE0B2"/>
        </patternFill>
      </fill>
    </dxf>
    <dxf>
      <font>
        <b/>
        <sz val="10"/>
        <color rgb="FF1F4E79"/>
        <name val="Arial"/>
        <charset val="1"/>
      </font>
      <fill>
        <patternFill>
          <bgColor rgb="FFBDD7EE"/>
        </patternFill>
      </fill>
    </dxf>
    <dxf>
      <font>
        <b/>
        <sz val="10"/>
        <color rgb="FF5B2C8D"/>
        <name val="Arial"/>
        <charset val="1"/>
      </font>
      <fill>
        <patternFill>
          <bgColor rgb="FFE4D7F5"/>
        </patternFill>
      </fill>
    </dxf>
    <dxf>
      <font>
        <b/>
        <sz val="10"/>
        <color rgb="FF375623"/>
        <name val="Arial"/>
        <charset val="1"/>
      </font>
      <fill>
        <patternFill>
          <bgColor rgb="FFC6E0B4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808080"/>
        <name val="Arial"/>
        <charset val="1"/>
      </font>
      <fill>
        <patternFill>
          <bgColor rgb="FFE7E6E6"/>
        </patternFill>
      </fill>
    </dxf>
    <dxf>
      <font>
        <b/>
        <sz val="10"/>
        <color rgb="FF5A5424"/>
        <name val="Arial"/>
        <charset val="1"/>
      </font>
      <fill>
        <patternFill>
          <bgColor rgb="FFDDD9C4"/>
        </patternFill>
      </fill>
    </dxf>
    <dxf>
      <font>
        <b/>
        <sz val="10"/>
        <color rgb="FF3F3151"/>
        <name val="Arial"/>
        <charset val="1"/>
      </font>
      <fill>
        <patternFill>
          <bgColor rgb="FFD9D2E9"/>
        </patternFill>
      </fill>
    </dxf>
    <dxf>
      <font>
        <b/>
        <sz val="10"/>
        <color rgb="FF1F5B5E"/>
        <name val="Arial"/>
        <charset val="1"/>
      </font>
      <fill>
        <patternFill>
          <bgColor rgb="FFB7E1E4"/>
        </patternFill>
      </fill>
    </dxf>
    <dxf>
      <font>
        <b/>
        <sz val="10"/>
        <color rgb="FF7F6000"/>
        <name val="Arial"/>
        <charset val="1"/>
      </font>
      <fill>
        <patternFill>
          <bgColor rgb="FFFFF2CC"/>
        </patternFill>
      </fill>
    </dxf>
    <dxf>
      <font>
        <b/>
        <sz val="10"/>
        <color rgb="FF843C0C"/>
        <name val="Arial"/>
        <charset val="1"/>
      </font>
      <fill>
        <patternFill>
          <bgColor rgb="FFFFE0B2"/>
        </patternFill>
      </fill>
    </dxf>
    <dxf>
      <font>
        <b/>
        <sz val="10"/>
        <color rgb="FF1F4E79"/>
        <name val="Arial"/>
        <charset val="1"/>
      </font>
      <fill>
        <patternFill>
          <bgColor rgb="FFBDD7EE"/>
        </patternFill>
      </fill>
    </dxf>
    <dxf>
      <font>
        <b/>
        <sz val="10"/>
        <color rgb="FF5B2C8D"/>
        <name val="Arial"/>
        <charset val="1"/>
      </font>
      <fill>
        <patternFill>
          <bgColor rgb="FFE4D7F5"/>
        </patternFill>
      </fill>
    </dxf>
    <dxf>
      <font>
        <b/>
        <sz val="10"/>
        <color rgb="FF375623"/>
        <name val="Arial"/>
        <charset val="1"/>
      </font>
      <fill>
        <patternFill>
          <bgColor rgb="FFC6E0B4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808080"/>
        <name val="Arial"/>
        <charset val="1"/>
      </font>
      <fill>
        <patternFill>
          <bgColor rgb="FFE7E6E6"/>
        </patternFill>
      </fill>
    </dxf>
    <dxf>
      <font>
        <b/>
        <sz val="10"/>
        <color rgb="FF5A5424"/>
        <name val="Arial"/>
        <charset val="1"/>
      </font>
      <fill>
        <patternFill>
          <bgColor rgb="FFDDD9C4"/>
        </patternFill>
      </fill>
    </dxf>
    <dxf>
      <font>
        <b/>
        <sz val="10"/>
        <color rgb="FF3F3151"/>
        <name val="Arial"/>
        <charset val="1"/>
      </font>
      <fill>
        <patternFill>
          <bgColor rgb="FFD9D2E9"/>
        </patternFill>
      </fill>
    </dxf>
    <dxf>
      <font>
        <b/>
        <sz val="10"/>
        <color rgb="FF1F5B5E"/>
        <name val="Arial"/>
        <charset val="1"/>
      </font>
      <fill>
        <patternFill>
          <bgColor rgb="FFB7E1E4"/>
        </patternFill>
      </fill>
    </dxf>
    <dxf>
      <font>
        <b/>
        <sz val="10"/>
        <color rgb="FF7F6000"/>
        <name val="Arial"/>
        <charset val="1"/>
      </font>
      <fill>
        <patternFill>
          <bgColor rgb="FFFFF2CC"/>
        </patternFill>
      </fill>
    </dxf>
    <dxf>
      <font>
        <b/>
        <sz val="10"/>
        <color rgb="FF843C0C"/>
        <name val="Arial"/>
        <charset val="1"/>
      </font>
      <fill>
        <patternFill>
          <bgColor rgb="FFFFE0B2"/>
        </patternFill>
      </fill>
    </dxf>
    <dxf>
      <font>
        <b/>
        <sz val="10"/>
        <color rgb="FF1F4E79"/>
        <name val="Arial"/>
        <charset val="1"/>
      </font>
      <fill>
        <patternFill>
          <bgColor rgb="FFBDD7EE"/>
        </patternFill>
      </fill>
    </dxf>
    <dxf>
      <font>
        <b/>
        <sz val="10"/>
        <color rgb="FF5B2C8D"/>
        <name val="Arial"/>
        <charset val="1"/>
      </font>
      <fill>
        <patternFill>
          <bgColor rgb="FFE4D7F5"/>
        </patternFill>
      </fill>
    </dxf>
    <dxf>
      <font>
        <b/>
        <sz val="10"/>
        <color rgb="FF375623"/>
        <name val="Arial"/>
        <charset val="1"/>
      </font>
      <fill>
        <patternFill>
          <bgColor rgb="FFC6E0B4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808080"/>
        <name val="Arial"/>
        <charset val="1"/>
      </font>
      <fill>
        <patternFill>
          <bgColor rgb="FFE7E6E6"/>
        </patternFill>
      </fill>
    </dxf>
    <dxf>
      <font>
        <b/>
        <sz val="10"/>
        <color rgb="FF5A5424"/>
        <name val="Arial"/>
        <charset val="1"/>
      </font>
      <fill>
        <patternFill>
          <bgColor rgb="FFDDD9C4"/>
        </patternFill>
      </fill>
    </dxf>
    <dxf>
      <font>
        <b/>
        <sz val="10"/>
        <color rgb="FF3F3151"/>
        <name val="Arial"/>
        <charset val="1"/>
      </font>
      <fill>
        <patternFill>
          <bgColor rgb="FFD9D2E9"/>
        </patternFill>
      </fill>
    </dxf>
    <dxf>
      <font>
        <b/>
        <sz val="10"/>
        <color rgb="FF1F5B5E"/>
        <name val="Arial"/>
        <charset val="1"/>
      </font>
      <fill>
        <patternFill>
          <bgColor rgb="FFB7E1E4"/>
        </patternFill>
      </fill>
    </dxf>
    <dxf>
      <font>
        <b/>
        <sz val="10"/>
        <color rgb="FF7F6000"/>
        <name val="Arial"/>
        <charset val="1"/>
      </font>
      <fill>
        <patternFill>
          <bgColor rgb="FFFFF2CC"/>
        </patternFill>
      </fill>
    </dxf>
    <dxf>
      <font>
        <b/>
        <sz val="10"/>
        <color rgb="FF843C0C"/>
        <name val="Arial"/>
        <charset val="1"/>
      </font>
      <fill>
        <patternFill>
          <bgColor rgb="FFFFE0B2"/>
        </patternFill>
      </fill>
    </dxf>
    <dxf>
      <font>
        <b/>
        <sz val="10"/>
        <color rgb="FF1F4E79"/>
        <name val="Arial"/>
        <charset val="1"/>
      </font>
      <fill>
        <patternFill>
          <bgColor rgb="FFBDD7EE"/>
        </patternFill>
      </fill>
    </dxf>
    <dxf>
      <font>
        <b/>
        <sz val="10"/>
        <color rgb="FF5B2C8D"/>
        <name val="Arial"/>
        <charset val="1"/>
      </font>
      <fill>
        <patternFill>
          <bgColor rgb="FFE4D7F5"/>
        </patternFill>
      </fill>
    </dxf>
    <dxf>
      <font>
        <b/>
        <sz val="10"/>
        <color rgb="FF375623"/>
        <name val="Arial"/>
        <charset val="1"/>
      </font>
      <fill>
        <patternFill>
          <bgColor rgb="FFC6E0B4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808080"/>
        <name val="Arial"/>
        <charset val="1"/>
      </font>
      <fill>
        <patternFill>
          <bgColor rgb="FFE7E6E6"/>
        </patternFill>
      </fill>
    </dxf>
    <dxf>
      <font>
        <b/>
        <sz val="10"/>
        <color rgb="FF5A5424"/>
        <name val="Arial"/>
        <charset val="1"/>
      </font>
      <fill>
        <patternFill>
          <bgColor rgb="FFDDD9C4"/>
        </patternFill>
      </fill>
    </dxf>
    <dxf>
      <font>
        <b/>
        <sz val="10"/>
        <color rgb="FF3F3151"/>
        <name val="Arial"/>
        <charset val="1"/>
      </font>
      <fill>
        <patternFill>
          <bgColor rgb="FFD9D2E9"/>
        </patternFill>
      </fill>
    </dxf>
    <dxf>
      <font>
        <b/>
        <sz val="10"/>
        <color rgb="FF1F5B5E"/>
        <name val="Arial"/>
        <charset val="1"/>
      </font>
      <fill>
        <patternFill>
          <bgColor rgb="FFB7E1E4"/>
        </patternFill>
      </fill>
    </dxf>
    <dxf>
      <font>
        <b/>
        <sz val="10"/>
        <color rgb="FF7F6000"/>
        <name val="Arial"/>
        <charset val="1"/>
      </font>
      <fill>
        <patternFill>
          <bgColor rgb="FFFFF2CC"/>
        </patternFill>
      </fill>
    </dxf>
    <dxf>
      <font>
        <b/>
        <sz val="10"/>
        <color rgb="FF843C0C"/>
        <name val="Arial"/>
        <charset val="1"/>
      </font>
      <fill>
        <patternFill>
          <bgColor rgb="FFFFE0B2"/>
        </patternFill>
      </fill>
    </dxf>
    <dxf>
      <font>
        <b/>
        <sz val="10"/>
        <color rgb="FF1F4E79"/>
        <name val="Arial"/>
        <charset val="1"/>
      </font>
      <fill>
        <patternFill>
          <bgColor rgb="FFBDD7EE"/>
        </patternFill>
      </fill>
    </dxf>
    <dxf>
      <font>
        <b/>
        <sz val="10"/>
        <color rgb="FF5B2C8D"/>
        <name val="Arial"/>
        <charset val="1"/>
      </font>
      <fill>
        <patternFill>
          <bgColor rgb="FFE4D7F5"/>
        </patternFill>
      </fill>
    </dxf>
    <dxf>
      <font>
        <b/>
        <sz val="10"/>
        <color rgb="FF375623"/>
        <name val="Arial"/>
        <charset val="1"/>
      </font>
      <fill>
        <patternFill>
          <bgColor rgb="FFC6E0B4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808080"/>
        <name val="Arial"/>
        <charset val="1"/>
      </font>
      <fill>
        <patternFill>
          <bgColor rgb="FFE7E6E6"/>
        </patternFill>
      </fill>
    </dxf>
    <dxf>
      <font>
        <b/>
        <sz val="10"/>
        <color rgb="FF5A5424"/>
        <name val="Arial"/>
        <charset val="1"/>
      </font>
      <fill>
        <patternFill>
          <bgColor rgb="FFDDD9C4"/>
        </patternFill>
      </fill>
    </dxf>
    <dxf>
      <font>
        <b/>
        <sz val="10"/>
        <color rgb="FF3F3151"/>
        <name val="Arial"/>
        <charset val="1"/>
      </font>
      <fill>
        <patternFill>
          <bgColor rgb="FFD9D2E9"/>
        </patternFill>
      </fill>
    </dxf>
    <dxf>
      <font>
        <b/>
        <sz val="10"/>
        <color rgb="FF1F5B5E"/>
        <name val="Arial"/>
        <charset val="1"/>
      </font>
      <fill>
        <patternFill>
          <bgColor rgb="FFB7E1E4"/>
        </patternFill>
      </fill>
    </dxf>
    <dxf>
      <font>
        <b/>
        <sz val="10"/>
        <color rgb="FF7F6000"/>
        <name val="Arial"/>
        <charset val="1"/>
      </font>
      <fill>
        <patternFill>
          <bgColor rgb="FFFFF2CC"/>
        </patternFill>
      </fill>
    </dxf>
    <dxf>
      <font>
        <b/>
        <sz val="10"/>
        <color rgb="FF843C0C"/>
        <name val="Arial"/>
        <charset val="1"/>
      </font>
      <fill>
        <patternFill>
          <bgColor rgb="FFFFE0B2"/>
        </patternFill>
      </fill>
    </dxf>
    <dxf>
      <font>
        <b/>
        <sz val="10"/>
        <color rgb="FF1F4E79"/>
        <name val="Arial"/>
        <charset val="1"/>
      </font>
      <fill>
        <patternFill>
          <bgColor rgb="FFBDD7EE"/>
        </patternFill>
      </fill>
    </dxf>
    <dxf>
      <font>
        <b/>
        <sz val="10"/>
        <color rgb="FF5B2C8D"/>
        <name val="Arial"/>
        <charset val="1"/>
      </font>
      <fill>
        <patternFill>
          <bgColor rgb="FFE4D7F5"/>
        </patternFill>
      </fill>
    </dxf>
    <dxf>
      <font>
        <b/>
        <sz val="10"/>
        <color rgb="FF375623"/>
        <name val="Arial"/>
        <charset val="1"/>
      </font>
      <fill>
        <patternFill>
          <bgColor rgb="FFC6E0B4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808080"/>
        <name val="Arial"/>
        <charset val="1"/>
      </font>
      <fill>
        <patternFill>
          <bgColor rgb="FFE7E6E6"/>
        </patternFill>
      </fill>
    </dxf>
    <dxf>
      <font>
        <b/>
        <sz val="10"/>
        <color rgb="FF5A5424"/>
        <name val="Arial"/>
        <charset val="1"/>
      </font>
      <fill>
        <patternFill>
          <bgColor rgb="FFDDD9C4"/>
        </patternFill>
      </fill>
    </dxf>
    <dxf>
      <font>
        <b/>
        <sz val="10"/>
        <color rgb="FF3F3151"/>
        <name val="Arial"/>
        <charset val="1"/>
      </font>
      <fill>
        <patternFill>
          <bgColor rgb="FFD9D2E9"/>
        </patternFill>
      </fill>
    </dxf>
    <dxf>
      <font>
        <b/>
        <sz val="10"/>
        <color rgb="FF1F5B5E"/>
        <name val="Arial"/>
        <charset val="1"/>
      </font>
      <fill>
        <patternFill>
          <bgColor rgb="FFB7E1E4"/>
        </patternFill>
      </fill>
    </dxf>
    <dxf>
      <font>
        <b/>
        <sz val="10"/>
        <color rgb="FF7F6000"/>
        <name val="Arial"/>
        <charset val="1"/>
      </font>
      <fill>
        <patternFill>
          <bgColor rgb="FFFFF2CC"/>
        </patternFill>
      </fill>
    </dxf>
    <dxf>
      <font>
        <b/>
        <sz val="10"/>
        <color rgb="FF843C0C"/>
        <name val="Arial"/>
        <charset val="1"/>
      </font>
      <fill>
        <patternFill>
          <bgColor rgb="FFFFE0B2"/>
        </patternFill>
      </fill>
    </dxf>
    <dxf>
      <font>
        <b/>
        <sz val="10"/>
        <color rgb="FF1F4E79"/>
        <name val="Arial"/>
        <charset val="1"/>
      </font>
      <fill>
        <patternFill>
          <bgColor rgb="FFBDD7EE"/>
        </patternFill>
      </fill>
    </dxf>
    <dxf>
      <font>
        <b/>
        <sz val="10"/>
        <color rgb="FF5B2C8D"/>
        <name val="Arial"/>
        <charset val="1"/>
      </font>
      <fill>
        <patternFill>
          <bgColor rgb="FFE4D7F5"/>
        </patternFill>
      </fill>
    </dxf>
    <dxf>
      <font>
        <b/>
        <sz val="10"/>
        <color rgb="FF375623"/>
        <name val="Arial"/>
        <charset val="1"/>
      </font>
      <fill>
        <patternFill>
          <bgColor rgb="FFC6E0B4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808080"/>
        <name val="Arial"/>
        <charset val="1"/>
      </font>
      <fill>
        <patternFill>
          <bgColor rgb="FFE7E6E6"/>
        </patternFill>
      </fill>
    </dxf>
    <dxf>
      <font>
        <b/>
        <sz val="10"/>
        <color rgb="FF5A5424"/>
        <name val="Arial"/>
        <charset val="1"/>
      </font>
      <fill>
        <patternFill>
          <bgColor rgb="FFDDD9C4"/>
        </patternFill>
      </fill>
    </dxf>
    <dxf>
      <font>
        <b/>
        <sz val="10"/>
        <color rgb="FF3F3151"/>
        <name val="Arial"/>
        <charset val="1"/>
      </font>
      <fill>
        <patternFill>
          <bgColor rgb="FFD9D2E9"/>
        </patternFill>
      </fill>
    </dxf>
    <dxf>
      <font>
        <b/>
        <sz val="10"/>
        <color rgb="FF1F5B5E"/>
        <name val="Arial"/>
        <charset val="1"/>
      </font>
      <fill>
        <patternFill>
          <bgColor rgb="FFB7E1E4"/>
        </patternFill>
      </fill>
    </dxf>
    <dxf>
      <font>
        <b/>
        <sz val="10"/>
        <color rgb="FF7F6000"/>
        <name val="Arial"/>
        <charset val="1"/>
      </font>
      <fill>
        <patternFill>
          <bgColor rgb="FFFFF2CC"/>
        </patternFill>
      </fill>
    </dxf>
    <dxf>
      <font>
        <b/>
        <sz val="10"/>
        <color rgb="FF843C0C"/>
        <name val="Arial"/>
        <charset val="1"/>
      </font>
      <fill>
        <patternFill>
          <bgColor rgb="FFFFE0B2"/>
        </patternFill>
      </fill>
    </dxf>
    <dxf>
      <font>
        <b/>
        <sz val="10"/>
        <color rgb="FF1F4E79"/>
        <name val="Arial"/>
        <charset val="1"/>
      </font>
      <fill>
        <patternFill>
          <bgColor rgb="FFBDD7EE"/>
        </patternFill>
      </fill>
    </dxf>
    <dxf>
      <font>
        <b/>
        <sz val="10"/>
        <color rgb="FF5B2C8D"/>
        <name val="Arial"/>
        <charset val="1"/>
      </font>
      <fill>
        <patternFill>
          <bgColor rgb="FFE4D7F5"/>
        </patternFill>
      </fill>
    </dxf>
    <dxf>
      <font>
        <b/>
        <sz val="10"/>
        <color rgb="FF375623"/>
        <name val="Arial"/>
        <charset val="1"/>
      </font>
      <fill>
        <patternFill>
          <bgColor rgb="FFC6E0B4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808080"/>
        <name val="Arial"/>
        <charset val="1"/>
      </font>
      <fill>
        <patternFill>
          <bgColor rgb="FFE7E6E6"/>
        </patternFill>
      </fill>
    </dxf>
    <dxf>
      <font>
        <b/>
        <sz val="10"/>
        <color rgb="FF5A5424"/>
        <name val="Arial"/>
        <charset val="1"/>
      </font>
      <fill>
        <patternFill>
          <bgColor rgb="FFDDD9C4"/>
        </patternFill>
      </fill>
    </dxf>
    <dxf>
      <font>
        <b/>
        <sz val="10"/>
        <color rgb="FF3F3151"/>
        <name val="Arial"/>
        <charset val="1"/>
      </font>
      <fill>
        <patternFill>
          <bgColor rgb="FFD9D2E9"/>
        </patternFill>
      </fill>
    </dxf>
    <dxf>
      <font>
        <b/>
        <sz val="10"/>
        <color rgb="FF1F5B5E"/>
        <name val="Arial"/>
        <charset val="1"/>
      </font>
      <fill>
        <patternFill>
          <bgColor rgb="FFB7E1E4"/>
        </patternFill>
      </fill>
    </dxf>
    <dxf>
      <font>
        <b/>
        <sz val="10"/>
        <color rgb="FF7F6000"/>
        <name val="Arial"/>
        <charset val="1"/>
      </font>
      <fill>
        <patternFill>
          <bgColor rgb="FFFFF2CC"/>
        </patternFill>
      </fill>
    </dxf>
    <dxf>
      <font>
        <b/>
        <sz val="10"/>
        <color rgb="FF843C0C"/>
        <name val="Arial"/>
        <charset val="1"/>
      </font>
      <fill>
        <patternFill>
          <bgColor rgb="FFFFE0B2"/>
        </patternFill>
      </fill>
    </dxf>
    <dxf>
      <font>
        <b/>
        <sz val="10"/>
        <color rgb="FF1F4E79"/>
        <name val="Arial"/>
        <charset val="1"/>
      </font>
      <fill>
        <patternFill>
          <bgColor rgb="FFBDD7EE"/>
        </patternFill>
      </fill>
    </dxf>
    <dxf>
      <font>
        <b/>
        <sz val="10"/>
        <color rgb="FF5B2C8D"/>
        <name val="Arial"/>
        <charset val="1"/>
      </font>
      <fill>
        <patternFill>
          <bgColor rgb="FFE4D7F5"/>
        </patternFill>
      </fill>
    </dxf>
    <dxf>
      <font>
        <b/>
        <sz val="10"/>
        <color rgb="FF375623"/>
        <name val="Arial"/>
        <charset val="1"/>
      </font>
      <fill>
        <patternFill>
          <bgColor rgb="FFC6E0B4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808080"/>
        <name val="Arial"/>
        <charset val="1"/>
      </font>
      <fill>
        <patternFill>
          <bgColor rgb="FFE7E6E6"/>
        </patternFill>
      </fill>
    </dxf>
    <dxf>
      <font>
        <b/>
        <sz val="10"/>
        <color rgb="FF5A5424"/>
        <name val="Arial"/>
        <charset val="1"/>
      </font>
      <fill>
        <patternFill>
          <bgColor rgb="FFDDD9C4"/>
        </patternFill>
      </fill>
    </dxf>
    <dxf>
      <font>
        <b/>
        <sz val="10"/>
        <color rgb="FF3F3151"/>
        <name val="Arial"/>
        <charset val="1"/>
      </font>
      <fill>
        <patternFill>
          <bgColor rgb="FFD9D2E9"/>
        </patternFill>
      </fill>
    </dxf>
    <dxf>
      <font>
        <b/>
        <sz val="10"/>
        <color rgb="FF1F5B5E"/>
        <name val="Arial"/>
        <charset val="1"/>
      </font>
      <fill>
        <patternFill>
          <bgColor rgb="FFB7E1E4"/>
        </patternFill>
      </fill>
    </dxf>
    <dxf>
      <font>
        <b/>
        <sz val="10"/>
        <color rgb="FF7F6000"/>
        <name val="Arial"/>
        <charset val="1"/>
      </font>
      <fill>
        <patternFill>
          <bgColor rgb="FFFFF2CC"/>
        </patternFill>
      </fill>
    </dxf>
    <dxf>
      <font>
        <b/>
        <sz val="10"/>
        <color rgb="FF843C0C"/>
        <name val="Arial"/>
        <charset val="1"/>
      </font>
      <fill>
        <patternFill>
          <bgColor rgb="FFFFE0B2"/>
        </patternFill>
      </fill>
    </dxf>
    <dxf>
      <font>
        <b/>
        <sz val="10"/>
        <color rgb="FF1F4E79"/>
        <name val="Arial"/>
        <charset val="1"/>
      </font>
      <fill>
        <patternFill>
          <bgColor rgb="FFBDD7EE"/>
        </patternFill>
      </fill>
    </dxf>
    <dxf>
      <font>
        <b/>
        <sz val="10"/>
        <color rgb="FF5B2C8D"/>
        <name val="Arial"/>
        <charset val="1"/>
      </font>
      <fill>
        <patternFill>
          <bgColor rgb="FFE4D7F5"/>
        </patternFill>
      </fill>
    </dxf>
    <dxf>
      <font>
        <b/>
        <sz val="10"/>
        <color rgb="FF375623"/>
        <name val="Arial"/>
        <charset val="1"/>
      </font>
      <fill>
        <patternFill>
          <bgColor rgb="FFC6E0B4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808080"/>
        <name val="Arial"/>
        <charset val="1"/>
      </font>
      <fill>
        <patternFill>
          <bgColor rgb="FFE7E6E6"/>
        </patternFill>
      </fill>
    </dxf>
    <dxf>
      <font>
        <b/>
        <sz val="10"/>
        <color rgb="FF5A5424"/>
        <name val="Arial"/>
        <charset val="1"/>
      </font>
      <fill>
        <patternFill>
          <bgColor rgb="FFDDD9C4"/>
        </patternFill>
      </fill>
    </dxf>
    <dxf>
      <font>
        <b/>
        <sz val="10"/>
        <color rgb="FF3F3151"/>
        <name val="Arial"/>
        <charset val="1"/>
      </font>
      <fill>
        <patternFill>
          <bgColor rgb="FFD9D2E9"/>
        </patternFill>
      </fill>
    </dxf>
    <dxf>
      <font>
        <b/>
        <sz val="10"/>
        <color rgb="FF1F5B5E"/>
        <name val="Arial"/>
        <charset val="1"/>
      </font>
      <fill>
        <patternFill>
          <bgColor rgb="FFB7E1E4"/>
        </patternFill>
      </fill>
    </dxf>
    <dxf>
      <font>
        <b/>
        <sz val="10"/>
        <color rgb="FF7F6000"/>
        <name val="Arial"/>
        <charset val="1"/>
      </font>
      <fill>
        <patternFill>
          <bgColor rgb="FFFFF2CC"/>
        </patternFill>
      </fill>
    </dxf>
    <dxf>
      <font>
        <b/>
        <sz val="10"/>
        <color rgb="FF843C0C"/>
        <name val="Arial"/>
        <charset val="1"/>
      </font>
      <fill>
        <patternFill>
          <bgColor rgb="FFFFE0B2"/>
        </patternFill>
      </fill>
    </dxf>
    <dxf>
      <font>
        <b/>
        <sz val="10"/>
        <color rgb="FF1F4E79"/>
        <name val="Arial"/>
        <charset val="1"/>
      </font>
      <fill>
        <patternFill>
          <bgColor rgb="FFBDD7EE"/>
        </patternFill>
      </fill>
    </dxf>
    <dxf>
      <font>
        <b/>
        <sz val="10"/>
        <color rgb="FF5B2C8D"/>
        <name val="Arial"/>
        <charset val="1"/>
      </font>
      <fill>
        <patternFill>
          <bgColor rgb="FFE4D7F5"/>
        </patternFill>
      </fill>
    </dxf>
    <dxf>
      <font>
        <b/>
        <sz val="10"/>
        <color rgb="FF375623"/>
        <name val="Arial"/>
        <charset val="1"/>
      </font>
      <fill>
        <patternFill>
          <bgColor rgb="FFC6E0B4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808080"/>
        <name val="Arial"/>
        <charset val="1"/>
      </font>
      <fill>
        <patternFill>
          <bgColor rgb="FFE7E6E6"/>
        </patternFill>
      </fill>
    </dxf>
    <dxf>
      <font>
        <b/>
        <sz val="10"/>
        <color rgb="FF5A5424"/>
        <name val="Arial"/>
        <charset val="1"/>
      </font>
      <fill>
        <patternFill>
          <bgColor rgb="FFDDD9C4"/>
        </patternFill>
      </fill>
    </dxf>
    <dxf>
      <font>
        <b/>
        <sz val="10"/>
        <color rgb="FF3F3151"/>
        <name val="Arial"/>
        <charset val="1"/>
      </font>
      <fill>
        <patternFill>
          <bgColor rgb="FFD9D2E9"/>
        </patternFill>
      </fill>
    </dxf>
    <dxf>
      <font>
        <b/>
        <sz val="10"/>
        <color rgb="FF1F5B5E"/>
        <name val="Arial"/>
        <charset val="1"/>
      </font>
      <fill>
        <patternFill>
          <bgColor rgb="FFB7E1E4"/>
        </patternFill>
      </fill>
    </dxf>
    <dxf>
      <font>
        <b/>
        <sz val="10"/>
        <color rgb="FF7F6000"/>
        <name val="Arial"/>
        <charset val="1"/>
      </font>
      <fill>
        <patternFill>
          <bgColor rgb="FFFFF2CC"/>
        </patternFill>
      </fill>
    </dxf>
    <dxf>
      <font>
        <b/>
        <sz val="10"/>
        <color rgb="FF843C0C"/>
        <name val="Arial"/>
        <charset val="1"/>
      </font>
      <fill>
        <patternFill>
          <bgColor rgb="FFFFE0B2"/>
        </patternFill>
      </fill>
    </dxf>
    <dxf>
      <font>
        <b/>
        <sz val="10"/>
        <color rgb="FF1F4E79"/>
        <name val="Arial"/>
        <charset val="1"/>
      </font>
      <fill>
        <patternFill>
          <bgColor rgb="FFBDD7EE"/>
        </patternFill>
      </fill>
    </dxf>
    <dxf>
      <font>
        <b/>
        <sz val="10"/>
        <color rgb="FF5B2C8D"/>
        <name val="Arial"/>
        <charset val="1"/>
      </font>
      <fill>
        <patternFill>
          <bgColor rgb="FFE4D7F5"/>
        </patternFill>
      </fill>
    </dxf>
    <dxf>
      <font>
        <b/>
        <sz val="10"/>
        <color rgb="FF375623"/>
        <name val="Arial"/>
        <charset val="1"/>
      </font>
      <fill>
        <patternFill>
          <bgColor rgb="FFC6E0B4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808080"/>
        <name val="Arial"/>
        <charset val="1"/>
      </font>
      <fill>
        <patternFill>
          <bgColor rgb="FFE7E6E6"/>
        </patternFill>
      </fill>
    </dxf>
    <dxf>
      <font>
        <b/>
        <sz val="10"/>
        <color rgb="FF5A5424"/>
        <name val="Arial"/>
        <charset val="1"/>
      </font>
      <fill>
        <patternFill>
          <bgColor rgb="FFDDD9C4"/>
        </patternFill>
      </fill>
    </dxf>
    <dxf>
      <font>
        <b/>
        <sz val="10"/>
        <color rgb="FF3F3151"/>
        <name val="Arial"/>
        <charset val="1"/>
      </font>
      <fill>
        <patternFill>
          <bgColor rgb="FFD9D2E9"/>
        </patternFill>
      </fill>
    </dxf>
    <dxf>
      <font>
        <b/>
        <sz val="10"/>
        <color rgb="FF1F5B5E"/>
        <name val="Arial"/>
        <charset val="1"/>
      </font>
      <fill>
        <patternFill>
          <bgColor rgb="FFB7E1E4"/>
        </patternFill>
      </fill>
    </dxf>
    <dxf>
      <font>
        <b/>
        <sz val="10"/>
        <color rgb="FF7F6000"/>
        <name val="Arial"/>
        <charset val="1"/>
      </font>
      <fill>
        <patternFill>
          <bgColor rgb="FFFFF2CC"/>
        </patternFill>
      </fill>
    </dxf>
    <dxf>
      <font>
        <b/>
        <sz val="10"/>
        <color rgb="FF843C0C"/>
        <name val="Arial"/>
        <charset val="1"/>
      </font>
      <fill>
        <patternFill>
          <bgColor rgb="FFFFE0B2"/>
        </patternFill>
      </fill>
    </dxf>
    <dxf>
      <font>
        <b/>
        <sz val="10"/>
        <color rgb="FF1F4E79"/>
        <name val="Arial"/>
        <charset val="1"/>
      </font>
      <fill>
        <patternFill>
          <bgColor rgb="FFBDD7EE"/>
        </patternFill>
      </fill>
    </dxf>
    <dxf>
      <font>
        <b/>
        <sz val="10"/>
        <color rgb="FF5B2C8D"/>
        <name val="Arial"/>
        <charset val="1"/>
      </font>
      <fill>
        <patternFill>
          <bgColor rgb="FFE4D7F5"/>
        </patternFill>
      </fill>
    </dxf>
    <dxf>
      <font>
        <b/>
        <sz val="10"/>
        <color rgb="FF375623"/>
        <name val="Arial"/>
        <charset val="1"/>
      </font>
      <fill>
        <patternFill>
          <bgColor rgb="FFC6E0B4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808080"/>
        <name val="Arial"/>
        <charset val="1"/>
      </font>
      <fill>
        <patternFill>
          <bgColor rgb="FFE7E6E6"/>
        </patternFill>
      </fill>
    </dxf>
    <dxf>
      <font>
        <b/>
        <sz val="10"/>
        <color rgb="FF5A5424"/>
        <name val="Arial"/>
        <charset val="1"/>
      </font>
      <fill>
        <patternFill>
          <bgColor rgb="FFDDD9C4"/>
        </patternFill>
      </fill>
    </dxf>
    <dxf>
      <font>
        <b/>
        <sz val="10"/>
        <color rgb="FF3F3151"/>
        <name val="Arial"/>
        <charset val="1"/>
      </font>
      <fill>
        <patternFill>
          <bgColor rgb="FFD9D2E9"/>
        </patternFill>
      </fill>
    </dxf>
    <dxf>
      <font>
        <b/>
        <sz val="10"/>
        <color rgb="FF1F5B5E"/>
        <name val="Arial"/>
        <charset val="1"/>
      </font>
      <fill>
        <patternFill>
          <bgColor rgb="FFB7E1E4"/>
        </patternFill>
      </fill>
    </dxf>
    <dxf>
      <font>
        <b/>
        <sz val="10"/>
        <color rgb="FF7F6000"/>
        <name val="Arial"/>
        <charset val="1"/>
      </font>
      <fill>
        <patternFill>
          <bgColor rgb="FFFFF2CC"/>
        </patternFill>
      </fill>
    </dxf>
    <dxf>
      <font>
        <b/>
        <sz val="10"/>
        <color rgb="FF843C0C"/>
        <name val="Arial"/>
        <charset val="1"/>
      </font>
      <fill>
        <patternFill>
          <bgColor rgb="FFFFE0B2"/>
        </patternFill>
      </fill>
    </dxf>
    <dxf>
      <font>
        <b/>
        <sz val="10"/>
        <color rgb="FF1F4E79"/>
        <name val="Arial"/>
        <charset val="1"/>
      </font>
      <fill>
        <patternFill>
          <bgColor rgb="FFBDD7EE"/>
        </patternFill>
      </fill>
    </dxf>
    <dxf>
      <font>
        <b/>
        <sz val="10"/>
        <color rgb="FF5B2C8D"/>
        <name val="Arial"/>
        <charset val="1"/>
      </font>
      <fill>
        <patternFill>
          <bgColor rgb="FFE4D7F5"/>
        </patternFill>
      </fill>
    </dxf>
    <dxf>
      <font>
        <b/>
        <sz val="10"/>
        <color rgb="FF375623"/>
        <name val="Arial"/>
        <charset val="1"/>
      </font>
      <fill>
        <patternFill>
          <bgColor rgb="FFC6E0B4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808080"/>
        <name val="Arial"/>
        <charset val="1"/>
      </font>
      <fill>
        <patternFill>
          <bgColor rgb="FFE7E6E6"/>
        </patternFill>
      </fill>
    </dxf>
    <dxf>
      <font>
        <b/>
        <sz val="10"/>
        <color rgb="FF5A5424"/>
        <name val="Arial"/>
        <charset val="1"/>
      </font>
      <fill>
        <patternFill>
          <bgColor rgb="FFDDD9C4"/>
        </patternFill>
      </fill>
    </dxf>
    <dxf>
      <font>
        <b/>
        <sz val="10"/>
        <color rgb="FF3F3151"/>
        <name val="Arial"/>
        <charset val="1"/>
      </font>
      <fill>
        <patternFill>
          <bgColor rgb="FFD9D2E9"/>
        </patternFill>
      </fill>
    </dxf>
    <dxf>
      <font>
        <b/>
        <sz val="10"/>
        <color rgb="FF1F5B5E"/>
        <name val="Arial"/>
        <charset val="1"/>
      </font>
      <fill>
        <patternFill>
          <bgColor rgb="FFB7E1E4"/>
        </patternFill>
      </fill>
    </dxf>
    <dxf>
      <font>
        <b/>
        <sz val="10"/>
        <color rgb="FF7F6000"/>
        <name val="Arial"/>
        <charset val="1"/>
      </font>
      <fill>
        <patternFill>
          <bgColor rgb="FFFFF2CC"/>
        </patternFill>
      </fill>
    </dxf>
    <dxf>
      <font>
        <b/>
        <sz val="10"/>
        <color rgb="FF843C0C"/>
        <name val="Arial"/>
        <charset val="1"/>
      </font>
      <fill>
        <patternFill>
          <bgColor rgb="FFFFE0B2"/>
        </patternFill>
      </fill>
    </dxf>
    <dxf>
      <font>
        <b/>
        <sz val="10"/>
        <color rgb="FF1F4E79"/>
        <name val="Arial"/>
        <charset val="1"/>
      </font>
      <fill>
        <patternFill>
          <bgColor rgb="FFBDD7EE"/>
        </patternFill>
      </fill>
    </dxf>
    <dxf>
      <font>
        <b/>
        <sz val="10"/>
        <color rgb="FF5B2C8D"/>
        <name val="Arial"/>
        <charset val="1"/>
      </font>
      <fill>
        <patternFill>
          <bgColor rgb="FFE4D7F5"/>
        </patternFill>
      </fill>
    </dxf>
    <dxf>
      <font>
        <b/>
        <sz val="10"/>
        <color rgb="FF375623"/>
        <name val="Arial"/>
        <charset val="1"/>
      </font>
      <fill>
        <patternFill>
          <bgColor rgb="FFC6E0B4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808080"/>
        <name val="Arial"/>
        <charset val="1"/>
      </font>
      <fill>
        <patternFill>
          <bgColor rgb="FFE7E6E6"/>
        </patternFill>
      </fill>
    </dxf>
    <dxf>
      <font>
        <b/>
        <sz val="10"/>
        <color rgb="FF5A5424"/>
        <name val="Arial"/>
        <charset val="1"/>
      </font>
      <fill>
        <patternFill>
          <bgColor rgb="FFDDD9C4"/>
        </patternFill>
      </fill>
    </dxf>
    <dxf>
      <font>
        <b/>
        <sz val="10"/>
        <color rgb="FF3F3151"/>
        <name val="Arial"/>
        <charset val="1"/>
      </font>
      <fill>
        <patternFill>
          <bgColor rgb="FFD9D2E9"/>
        </patternFill>
      </fill>
    </dxf>
    <dxf>
      <font>
        <b/>
        <sz val="10"/>
        <color rgb="FF1F5B5E"/>
        <name val="Arial"/>
        <charset val="1"/>
      </font>
      <fill>
        <patternFill>
          <bgColor rgb="FFB7E1E4"/>
        </patternFill>
      </fill>
    </dxf>
    <dxf>
      <font>
        <b/>
        <sz val="10"/>
        <color rgb="FF7F6000"/>
        <name val="Arial"/>
        <charset val="1"/>
      </font>
      <fill>
        <patternFill>
          <bgColor rgb="FFFFF2CC"/>
        </patternFill>
      </fill>
    </dxf>
    <dxf>
      <font>
        <b/>
        <sz val="10"/>
        <color rgb="FF843C0C"/>
        <name val="Arial"/>
        <charset val="1"/>
      </font>
      <fill>
        <patternFill>
          <bgColor rgb="FFFFE0B2"/>
        </patternFill>
      </fill>
    </dxf>
    <dxf>
      <font>
        <b/>
        <sz val="10"/>
        <color rgb="FF1F4E79"/>
        <name val="Arial"/>
        <charset val="1"/>
      </font>
      <fill>
        <patternFill>
          <bgColor rgb="FFBDD7EE"/>
        </patternFill>
      </fill>
    </dxf>
    <dxf>
      <font>
        <b/>
        <sz val="10"/>
        <color rgb="FF5B2C8D"/>
        <name val="Arial"/>
        <charset val="1"/>
      </font>
      <fill>
        <patternFill>
          <bgColor rgb="FFE4D7F5"/>
        </patternFill>
      </fill>
    </dxf>
    <dxf>
      <font>
        <b/>
        <sz val="10"/>
        <color rgb="FF375623"/>
        <name val="Arial"/>
        <charset val="1"/>
      </font>
      <fill>
        <patternFill>
          <bgColor rgb="FFC6E0B4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808080"/>
        <name val="Arial"/>
        <charset val="1"/>
      </font>
      <fill>
        <patternFill>
          <bgColor rgb="FFE7E6E6"/>
        </patternFill>
      </fill>
    </dxf>
    <dxf>
      <font>
        <b/>
        <sz val="10"/>
        <color rgb="FF5A5424"/>
        <name val="Arial"/>
        <charset val="1"/>
      </font>
      <fill>
        <patternFill>
          <bgColor rgb="FFDDD9C4"/>
        </patternFill>
      </fill>
    </dxf>
    <dxf>
      <font>
        <b/>
        <sz val="10"/>
        <color rgb="FF3F3151"/>
        <name val="Arial"/>
        <charset val="1"/>
      </font>
      <fill>
        <patternFill>
          <bgColor rgb="FFD9D2E9"/>
        </patternFill>
      </fill>
    </dxf>
    <dxf>
      <font>
        <b/>
        <sz val="10"/>
        <color rgb="FF1F5B5E"/>
        <name val="Arial"/>
        <charset val="1"/>
      </font>
      <fill>
        <patternFill>
          <bgColor rgb="FFB7E1E4"/>
        </patternFill>
      </fill>
    </dxf>
    <dxf>
      <font>
        <b/>
        <sz val="10"/>
        <color rgb="FF7F6000"/>
        <name val="Arial"/>
        <charset val="1"/>
      </font>
      <fill>
        <patternFill>
          <bgColor rgb="FFFFF2CC"/>
        </patternFill>
      </fill>
    </dxf>
    <dxf>
      <font>
        <b/>
        <sz val="10"/>
        <color rgb="FF843C0C"/>
        <name val="Arial"/>
        <charset val="1"/>
      </font>
      <fill>
        <patternFill>
          <bgColor rgb="FFFFE0B2"/>
        </patternFill>
      </fill>
    </dxf>
    <dxf>
      <font>
        <b/>
        <sz val="10"/>
        <color rgb="FF1F4E79"/>
        <name val="Arial"/>
        <charset val="1"/>
      </font>
      <fill>
        <patternFill>
          <bgColor rgb="FFBDD7EE"/>
        </patternFill>
      </fill>
    </dxf>
    <dxf>
      <font>
        <b/>
        <sz val="10"/>
        <color rgb="FF5B2C8D"/>
        <name val="Arial"/>
        <charset val="1"/>
      </font>
      <fill>
        <patternFill>
          <bgColor rgb="FFE4D7F5"/>
        </patternFill>
      </fill>
    </dxf>
    <dxf>
      <font>
        <b/>
        <sz val="10"/>
        <color rgb="FF375623"/>
        <name val="Arial"/>
        <charset val="1"/>
      </font>
      <fill>
        <patternFill>
          <bgColor rgb="FFC6E0B4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808080"/>
        <name val="Arial"/>
        <charset val="1"/>
      </font>
      <fill>
        <patternFill>
          <bgColor rgb="FFE7E6E6"/>
        </patternFill>
      </fill>
    </dxf>
    <dxf>
      <font>
        <b/>
        <sz val="10"/>
        <color rgb="FF5A5424"/>
        <name val="Arial"/>
        <charset val="1"/>
      </font>
      <fill>
        <patternFill>
          <bgColor rgb="FFDDD9C4"/>
        </patternFill>
      </fill>
    </dxf>
    <dxf>
      <font>
        <b/>
        <sz val="10"/>
        <color rgb="FF3F3151"/>
        <name val="Arial"/>
        <charset val="1"/>
      </font>
      <fill>
        <patternFill>
          <bgColor rgb="FFD9D2E9"/>
        </patternFill>
      </fill>
    </dxf>
    <dxf>
      <font>
        <b/>
        <sz val="10"/>
        <color rgb="FF1F5B5E"/>
        <name val="Arial"/>
        <charset val="1"/>
      </font>
      <fill>
        <patternFill>
          <bgColor rgb="FFB7E1E4"/>
        </patternFill>
      </fill>
    </dxf>
    <dxf>
      <font>
        <b/>
        <sz val="10"/>
        <color rgb="FF7F6000"/>
        <name val="Arial"/>
        <charset val="1"/>
      </font>
      <fill>
        <patternFill>
          <bgColor rgb="FFFFF2CC"/>
        </patternFill>
      </fill>
    </dxf>
    <dxf>
      <font>
        <b/>
        <sz val="10"/>
        <color rgb="FF843C0C"/>
        <name val="Arial"/>
        <charset val="1"/>
      </font>
      <fill>
        <patternFill>
          <bgColor rgb="FFFFE0B2"/>
        </patternFill>
      </fill>
    </dxf>
    <dxf>
      <font>
        <b/>
        <sz val="10"/>
        <color rgb="FF1F4E79"/>
        <name val="Arial"/>
        <charset val="1"/>
      </font>
      <fill>
        <patternFill>
          <bgColor rgb="FFBDD7EE"/>
        </patternFill>
      </fill>
    </dxf>
    <dxf>
      <font>
        <b/>
        <sz val="10"/>
        <color rgb="FF5B2C8D"/>
        <name val="Arial"/>
        <charset val="1"/>
      </font>
      <fill>
        <patternFill>
          <bgColor rgb="FFE4D7F5"/>
        </patternFill>
      </fill>
    </dxf>
    <dxf>
      <font>
        <b/>
        <sz val="10"/>
        <color rgb="FF375623"/>
        <name val="Arial"/>
        <charset val="1"/>
      </font>
      <fill>
        <patternFill>
          <bgColor rgb="FFC6E0B4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808080"/>
        <name val="Arial"/>
        <charset val="1"/>
      </font>
      <fill>
        <patternFill>
          <bgColor rgb="FFE7E6E6"/>
        </patternFill>
      </fill>
    </dxf>
    <dxf>
      <font>
        <b/>
        <sz val="10"/>
        <color rgb="FF5A5424"/>
        <name val="Arial"/>
        <charset val="1"/>
      </font>
      <fill>
        <patternFill>
          <bgColor rgb="FFDDD9C4"/>
        </patternFill>
      </fill>
    </dxf>
    <dxf>
      <font>
        <b/>
        <sz val="10"/>
        <color rgb="FF3F3151"/>
        <name val="Arial"/>
        <charset val="1"/>
      </font>
      <fill>
        <patternFill>
          <bgColor rgb="FFD9D2E9"/>
        </patternFill>
      </fill>
    </dxf>
    <dxf>
      <font>
        <b/>
        <sz val="10"/>
        <color rgb="FF1F5B5E"/>
        <name val="Arial"/>
        <charset val="1"/>
      </font>
      <fill>
        <patternFill>
          <bgColor rgb="FFB7E1E4"/>
        </patternFill>
      </fill>
    </dxf>
    <dxf>
      <font>
        <b/>
        <sz val="10"/>
        <color rgb="FF7F6000"/>
        <name val="Arial"/>
        <charset val="1"/>
      </font>
      <fill>
        <patternFill>
          <bgColor rgb="FFFFF2CC"/>
        </patternFill>
      </fill>
    </dxf>
    <dxf>
      <font>
        <b/>
        <sz val="10"/>
        <color rgb="FF843C0C"/>
        <name val="Arial"/>
        <charset val="1"/>
      </font>
      <fill>
        <patternFill>
          <bgColor rgb="FFFFE0B2"/>
        </patternFill>
      </fill>
    </dxf>
    <dxf>
      <font>
        <b/>
        <sz val="10"/>
        <color rgb="FF1F4E79"/>
        <name val="Arial"/>
        <charset val="1"/>
      </font>
      <fill>
        <patternFill>
          <bgColor rgb="FFBDD7EE"/>
        </patternFill>
      </fill>
    </dxf>
    <dxf>
      <font>
        <b/>
        <sz val="10"/>
        <color rgb="FF5B2C8D"/>
        <name val="Arial"/>
        <charset val="1"/>
      </font>
      <fill>
        <patternFill>
          <bgColor rgb="FFE4D7F5"/>
        </patternFill>
      </fill>
    </dxf>
    <dxf>
      <font>
        <b/>
        <sz val="10"/>
        <color rgb="FF375623"/>
        <name val="Arial"/>
        <charset val="1"/>
      </font>
      <fill>
        <patternFill>
          <bgColor rgb="FFC6E0B4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808080"/>
        <name val="Arial"/>
        <charset val="1"/>
      </font>
      <fill>
        <patternFill>
          <bgColor rgb="FFE7E6E6"/>
        </patternFill>
      </fill>
    </dxf>
    <dxf>
      <font>
        <b/>
        <sz val="10"/>
        <color rgb="FF5A5424"/>
        <name val="Arial"/>
        <charset val="1"/>
      </font>
      <fill>
        <patternFill>
          <bgColor rgb="FFDDD9C4"/>
        </patternFill>
      </fill>
    </dxf>
    <dxf>
      <font>
        <b/>
        <sz val="10"/>
        <color rgb="FF3F3151"/>
        <name val="Arial"/>
        <charset val="1"/>
      </font>
      <fill>
        <patternFill>
          <bgColor rgb="FFD9D2E9"/>
        </patternFill>
      </fill>
    </dxf>
    <dxf>
      <font>
        <b/>
        <sz val="10"/>
        <color rgb="FF1F5B5E"/>
        <name val="Arial"/>
        <charset val="1"/>
      </font>
      <fill>
        <patternFill>
          <bgColor rgb="FFB7E1E4"/>
        </patternFill>
      </fill>
    </dxf>
    <dxf>
      <font>
        <b/>
        <sz val="10"/>
        <color rgb="FF7F6000"/>
        <name val="Arial"/>
        <charset val="1"/>
      </font>
      <fill>
        <patternFill>
          <bgColor rgb="FFFFF2CC"/>
        </patternFill>
      </fill>
    </dxf>
    <dxf>
      <font>
        <b/>
        <sz val="10"/>
        <color rgb="FF843C0C"/>
        <name val="Arial"/>
        <charset val="1"/>
      </font>
      <fill>
        <patternFill>
          <bgColor rgb="FFFFE0B2"/>
        </patternFill>
      </fill>
    </dxf>
    <dxf>
      <font>
        <b/>
        <sz val="10"/>
        <color rgb="FF1F4E79"/>
        <name val="Arial"/>
        <charset val="1"/>
      </font>
      <fill>
        <patternFill>
          <bgColor rgb="FFBDD7EE"/>
        </patternFill>
      </fill>
    </dxf>
    <dxf>
      <font>
        <b/>
        <sz val="10"/>
        <color rgb="FF5B2C8D"/>
        <name val="Arial"/>
        <charset val="1"/>
      </font>
      <fill>
        <patternFill>
          <bgColor rgb="FFE4D7F5"/>
        </patternFill>
      </fill>
    </dxf>
    <dxf>
      <font>
        <b/>
        <sz val="10"/>
        <color rgb="FF375623"/>
        <name val="Arial"/>
        <charset val="1"/>
      </font>
      <fill>
        <patternFill>
          <bgColor rgb="FFC6E0B4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808080"/>
        <name val="Arial"/>
        <charset val="1"/>
      </font>
      <fill>
        <patternFill>
          <bgColor rgb="FFE7E6E6"/>
        </patternFill>
      </fill>
    </dxf>
    <dxf>
      <font>
        <b/>
        <sz val="10"/>
        <color rgb="FF5A5424"/>
        <name val="Arial"/>
        <charset val="1"/>
      </font>
      <fill>
        <patternFill>
          <bgColor rgb="FFDDD9C4"/>
        </patternFill>
      </fill>
    </dxf>
    <dxf>
      <font>
        <b/>
        <sz val="10"/>
        <color rgb="FF3F3151"/>
        <name val="Arial"/>
        <charset val="1"/>
      </font>
      <fill>
        <patternFill>
          <bgColor rgb="FFD9D2E9"/>
        </patternFill>
      </fill>
    </dxf>
    <dxf>
      <font>
        <b/>
        <sz val="10"/>
        <color rgb="FF1F5B5E"/>
        <name val="Arial"/>
        <charset val="1"/>
      </font>
      <fill>
        <patternFill>
          <bgColor rgb="FFB7E1E4"/>
        </patternFill>
      </fill>
    </dxf>
    <dxf>
      <font>
        <b/>
        <sz val="10"/>
        <color rgb="FF7F6000"/>
        <name val="Arial"/>
        <charset val="1"/>
      </font>
      <fill>
        <patternFill>
          <bgColor rgb="FFFFF2CC"/>
        </patternFill>
      </fill>
    </dxf>
    <dxf>
      <font>
        <b/>
        <sz val="10"/>
        <color rgb="FF843C0C"/>
        <name val="Arial"/>
        <charset val="1"/>
      </font>
      <fill>
        <patternFill>
          <bgColor rgb="FFFFE0B2"/>
        </patternFill>
      </fill>
    </dxf>
    <dxf>
      <font>
        <b/>
        <sz val="10"/>
        <color rgb="FF1F4E79"/>
        <name val="Arial"/>
        <charset val="1"/>
      </font>
      <fill>
        <patternFill>
          <bgColor rgb="FFBDD7EE"/>
        </patternFill>
      </fill>
    </dxf>
    <dxf>
      <font>
        <b/>
        <sz val="10"/>
        <color rgb="FF5B2C8D"/>
        <name val="Arial"/>
        <charset val="1"/>
      </font>
      <fill>
        <patternFill>
          <bgColor rgb="FFE4D7F5"/>
        </patternFill>
      </fill>
    </dxf>
    <dxf>
      <font>
        <b/>
        <sz val="10"/>
        <color rgb="FF375623"/>
        <name val="Arial"/>
        <charset val="1"/>
      </font>
      <fill>
        <patternFill>
          <bgColor rgb="FFC6E0B4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808080"/>
        <name val="Arial"/>
        <charset val="1"/>
      </font>
      <fill>
        <patternFill>
          <bgColor rgb="FFE7E6E6"/>
        </patternFill>
      </fill>
    </dxf>
    <dxf>
      <font>
        <b/>
        <sz val="10"/>
        <color rgb="FF5A5424"/>
        <name val="Arial"/>
        <charset val="1"/>
      </font>
      <fill>
        <patternFill>
          <bgColor rgb="FFDDD9C4"/>
        </patternFill>
      </fill>
    </dxf>
    <dxf>
      <font>
        <b/>
        <sz val="10"/>
        <color rgb="FF3F3151"/>
        <name val="Arial"/>
        <charset val="1"/>
      </font>
      <fill>
        <patternFill>
          <bgColor rgb="FFD9D2E9"/>
        </patternFill>
      </fill>
    </dxf>
    <dxf>
      <font>
        <b/>
        <sz val="10"/>
        <color rgb="FF1F5B5E"/>
        <name val="Arial"/>
        <charset val="1"/>
      </font>
      <fill>
        <patternFill>
          <bgColor rgb="FFB7E1E4"/>
        </patternFill>
      </fill>
    </dxf>
    <dxf>
      <font>
        <b/>
        <sz val="10"/>
        <color rgb="FF7F6000"/>
        <name val="Arial"/>
        <charset val="1"/>
      </font>
      <fill>
        <patternFill>
          <bgColor rgb="FFFFF2CC"/>
        </patternFill>
      </fill>
    </dxf>
    <dxf>
      <font>
        <b/>
        <sz val="10"/>
        <color rgb="FF843C0C"/>
        <name val="Arial"/>
        <charset val="1"/>
      </font>
      <fill>
        <patternFill>
          <bgColor rgb="FFFFE0B2"/>
        </patternFill>
      </fill>
    </dxf>
    <dxf>
      <font>
        <b/>
        <sz val="10"/>
        <color rgb="FF1F4E79"/>
        <name val="Arial"/>
        <charset val="1"/>
      </font>
      <fill>
        <patternFill>
          <bgColor rgb="FFBDD7EE"/>
        </patternFill>
      </fill>
    </dxf>
    <dxf>
      <font>
        <b/>
        <sz val="10"/>
        <color rgb="FF5B2C8D"/>
        <name val="Arial"/>
        <charset val="1"/>
      </font>
      <fill>
        <patternFill>
          <bgColor rgb="FFE4D7F5"/>
        </patternFill>
      </fill>
    </dxf>
    <dxf>
      <font>
        <b/>
        <sz val="10"/>
        <color rgb="FF375623"/>
        <name val="Arial"/>
        <charset val="1"/>
      </font>
      <fill>
        <patternFill>
          <bgColor rgb="FFC6E0B4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808080"/>
        <name val="Arial"/>
        <charset val="1"/>
      </font>
      <fill>
        <patternFill>
          <bgColor rgb="FFE7E6E6"/>
        </patternFill>
      </fill>
    </dxf>
    <dxf>
      <font>
        <b/>
        <sz val="10"/>
        <color rgb="FF5A5424"/>
        <name val="Arial"/>
        <charset val="1"/>
      </font>
      <fill>
        <patternFill>
          <bgColor rgb="FFDDD9C4"/>
        </patternFill>
      </fill>
    </dxf>
    <dxf>
      <font>
        <b/>
        <sz val="10"/>
        <color rgb="FF3F3151"/>
        <name val="Arial"/>
        <charset val="1"/>
      </font>
      <fill>
        <patternFill>
          <bgColor rgb="FFD9D2E9"/>
        </patternFill>
      </fill>
    </dxf>
    <dxf>
      <font>
        <b/>
        <sz val="10"/>
        <color rgb="FF1F5B5E"/>
        <name val="Arial"/>
        <charset val="1"/>
      </font>
      <fill>
        <patternFill>
          <bgColor rgb="FFB7E1E4"/>
        </patternFill>
      </fill>
    </dxf>
    <dxf>
      <font>
        <b/>
        <sz val="10"/>
        <color rgb="FF7F6000"/>
        <name val="Arial"/>
        <charset val="1"/>
      </font>
      <fill>
        <patternFill>
          <bgColor rgb="FFFFF2CC"/>
        </patternFill>
      </fill>
    </dxf>
    <dxf>
      <font>
        <b/>
        <sz val="10"/>
        <color rgb="FF843C0C"/>
        <name val="Arial"/>
        <charset val="1"/>
      </font>
      <fill>
        <patternFill>
          <bgColor rgb="FFFFE0B2"/>
        </patternFill>
      </fill>
    </dxf>
    <dxf>
      <font>
        <b/>
        <sz val="10"/>
        <color rgb="FF1F4E79"/>
        <name val="Arial"/>
        <charset val="1"/>
      </font>
      <fill>
        <patternFill>
          <bgColor rgb="FFBDD7EE"/>
        </patternFill>
      </fill>
    </dxf>
    <dxf>
      <font>
        <b/>
        <sz val="10"/>
        <color rgb="FF5B2C8D"/>
        <name val="Arial"/>
        <charset val="1"/>
      </font>
      <fill>
        <patternFill>
          <bgColor rgb="FFE4D7F5"/>
        </patternFill>
      </fill>
    </dxf>
    <dxf>
      <font>
        <b/>
        <sz val="10"/>
        <color rgb="FF375623"/>
        <name val="Arial"/>
        <charset val="1"/>
      </font>
      <fill>
        <patternFill>
          <bgColor rgb="FFC6E0B4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808080"/>
        <name val="Arial"/>
        <charset val="1"/>
      </font>
      <fill>
        <patternFill>
          <bgColor rgb="FFE7E6E6"/>
        </patternFill>
      </fill>
    </dxf>
    <dxf>
      <font>
        <b/>
        <sz val="10"/>
        <color rgb="FF5A5424"/>
        <name val="Arial"/>
        <charset val="1"/>
      </font>
      <fill>
        <patternFill>
          <bgColor rgb="FFDDD9C4"/>
        </patternFill>
      </fill>
    </dxf>
    <dxf>
      <font>
        <b/>
        <sz val="10"/>
        <color rgb="FF3F3151"/>
        <name val="Arial"/>
        <charset val="1"/>
      </font>
      <fill>
        <patternFill>
          <bgColor rgb="FFD9D2E9"/>
        </patternFill>
      </fill>
    </dxf>
    <dxf>
      <font>
        <b/>
        <sz val="10"/>
        <color rgb="FF1F5B5E"/>
        <name val="Arial"/>
        <charset val="1"/>
      </font>
      <fill>
        <patternFill>
          <bgColor rgb="FFB7E1E4"/>
        </patternFill>
      </fill>
    </dxf>
    <dxf>
      <font>
        <b/>
        <sz val="10"/>
        <color rgb="FF7F6000"/>
        <name val="Arial"/>
        <charset val="1"/>
      </font>
      <fill>
        <patternFill>
          <bgColor rgb="FFFFF2CC"/>
        </patternFill>
      </fill>
    </dxf>
    <dxf>
      <font>
        <b/>
        <sz val="10"/>
        <color rgb="FF843C0C"/>
        <name val="Arial"/>
        <charset val="1"/>
      </font>
      <fill>
        <patternFill>
          <bgColor rgb="FFFFE0B2"/>
        </patternFill>
      </fill>
    </dxf>
    <dxf>
      <font>
        <b/>
        <sz val="10"/>
        <color rgb="FF1F4E79"/>
        <name val="Arial"/>
        <charset val="1"/>
      </font>
      <fill>
        <patternFill>
          <bgColor rgb="FFBDD7EE"/>
        </patternFill>
      </fill>
    </dxf>
    <dxf>
      <font>
        <b/>
        <sz val="10"/>
        <color rgb="FF5B2C8D"/>
        <name val="Arial"/>
        <charset val="1"/>
      </font>
      <fill>
        <patternFill>
          <bgColor rgb="FFE4D7F5"/>
        </patternFill>
      </fill>
    </dxf>
    <dxf>
      <font>
        <b/>
        <sz val="10"/>
        <color rgb="FF375623"/>
        <name val="Arial"/>
        <charset val="1"/>
      </font>
      <fill>
        <patternFill>
          <bgColor rgb="FFC6E0B4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808080"/>
        <name val="Arial"/>
        <charset val="1"/>
      </font>
      <fill>
        <patternFill>
          <bgColor rgb="FFE7E6E6"/>
        </patternFill>
      </fill>
    </dxf>
    <dxf>
      <font>
        <b/>
        <sz val="10"/>
        <color rgb="FF5A5424"/>
        <name val="Arial"/>
        <charset val="1"/>
      </font>
      <fill>
        <patternFill>
          <bgColor rgb="FFDDD9C4"/>
        </patternFill>
      </fill>
    </dxf>
    <dxf>
      <font>
        <b/>
        <sz val="10"/>
        <color rgb="FF3F3151"/>
        <name val="Arial"/>
        <charset val="1"/>
      </font>
      <fill>
        <patternFill>
          <bgColor rgb="FFD9D2E9"/>
        </patternFill>
      </fill>
    </dxf>
    <dxf>
      <font>
        <b/>
        <sz val="10"/>
        <color rgb="FF1F5B5E"/>
        <name val="Arial"/>
        <charset val="1"/>
      </font>
      <fill>
        <patternFill>
          <bgColor rgb="FFB7E1E4"/>
        </patternFill>
      </fill>
    </dxf>
    <dxf>
      <font>
        <b/>
        <sz val="10"/>
        <color rgb="FF7F6000"/>
        <name val="Arial"/>
        <charset val="1"/>
      </font>
      <fill>
        <patternFill>
          <bgColor rgb="FFFFF2CC"/>
        </patternFill>
      </fill>
    </dxf>
    <dxf>
      <font>
        <b/>
        <sz val="10"/>
        <color rgb="FF843C0C"/>
        <name val="Arial"/>
        <charset val="1"/>
      </font>
      <fill>
        <patternFill>
          <bgColor rgb="FFFFE0B2"/>
        </patternFill>
      </fill>
    </dxf>
    <dxf>
      <font>
        <b/>
        <sz val="10"/>
        <color rgb="FF1F4E79"/>
        <name val="Arial"/>
        <charset val="1"/>
      </font>
      <fill>
        <patternFill>
          <bgColor rgb="FFBDD7EE"/>
        </patternFill>
      </fill>
    </dxf>
    <dxf>
      <font>
        <b/>
        <sz val="10"/>
        <color rgb="FF5B2C8D"/>
        <name val="Arial"/>
        <charset val="1"/>
      </font>
      <fill>
        <patternFill>
          <bgColor rgb="FFE4D7F5"/>
        </patternFill>
      </fill>
    </dxf>
    <dxf>
      <font>
        <b/>
        <sz val="10"/>
        <color rgb="FF375623"/>
        <name val="Arial"/>
        <charset val="1"/>
      </font>
      <fill>
        <patternFill>
          <bgColor rgb="FFC6E0B4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808080"/>
        <name val="Arial"/>
        <charset val="1"/>
      </font>
      <fill>
        <patternFill>
          <bgColor rgb="FFE7E6E6"/>
        </patternFill>
      </fill>
    </dxf>
    <dxf>
      <font>
        <b/>
        <sz val="10"/>
        <color rgb="FF5A5424"/>
        <name val="Arial"/>
        <charset val="1"/>
      </font>
      <fill>
        <patternFill>
          <bgColor rgb="FFDDD9C4"/>
        </patternFill>
      </fill>
    </dxf>
    <dxf>
      <font>
        <b/>
        <sz val="10"/>
        <color rgb="FF3F3151"/>
        <name val="Arial"/>
        <charset val="1"/>
      </font>
      <fill>
        <patternFill>
          <bgColor rgb="FFD9D2E9"/>
        </patternFill>
      </fill>
    </dxf>
    <dxf>
      <font>
        <b/>
        <sz val="10"/>
        <color rgb="FF1F5B5E"/>
        <name val="Arial"/>
        <charset val="1"/>
      </font>
      <fill>
        <patternFill>
          <bgColor rgb="FFB7E1E4"/>
        </patternFill>
      </fill>
    </dxf>
    <dxf>
      <font>
        <b/>
        <sz val="10"/>
        <color rgb="FF7F6000"/>
        <name val="Arial"/>
        <charset val="1"/>
      </font>
      <fill>
        <patternFill>
          <bgColor rgb="FFFFF2CC"/>
        </patternFill>
      </fill>
    </dxf>
    <dxf>
      <font>
        <b/>
        <sz val="10"/>
        <color rgb="FF843C0C"/>
        <name val="Arial"/>
        <charset val="1"/>
      </font>
      <fill>
        <patternFill>
          <bgColor rgb="FFFFE0B2"/>
        </patternFill>
      </fill>
    </dxf>
    <dxf>
      <font>
        <b/>
        <sz val="10"/>
        <color rgb="FF1F4E79"/>
        <name val="Arial"/>
        <charset val="1"/>
      </font>
      <fill>
        <patternFill>
          <bgColor rgb="FFBDD7EE"/>
        </patternFill>
      </fill>
    </dxf>
    <dxf>
      <font>
        <b/>
        <sz val="10"/>
        <color rgb="FF5B2C8D"/>
        <name val="Arial"/>
        <charset val="1"/>
      </font>
      <fill>
        <patternFill>
          <bgColor rgb="FFE4D7F5"/>
        </patternFill>
      </fill>
    </dxf>
    <dxf>
      <font>
        <b/>
        <sz val="10"/>
        <color rgb="FF375623"/>
        <name val="Arial"/>
        <charset val="1"/>
      </font>
      <fill>
        <patternFill>
          <bgColor rgb="FFC6E0B4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808080"/>
        <name val="Arial"/>
        <charset val="1"/>
      </font>
      <fill>
        <patternFill>
          <bgColor rgb="FFE7E6E6"/>
        </patternFill>
      </fill>
    </dxf>
    <dxf>
      <font>
        <b/>
        <sz val="10"/>
        <color rgb="FF5A5424"/>
        <name val="Arial"/>
        <charset val="1"/>
      </font>
      <fill>
        <patternFill>
          <bgColor rgb="FFDDD9C4"/>
        </patternFill>
      </fill>
    </dxf>
    <dxf>
      <font>
        <b/>
        <sz val="10"/>
        <color rgb="FF3F3151"/>
        <name val="Arial"/>
        <charset val="1"/>
      </font>
      <fill>
        <patternFill>
          <bgColor rgb="FFD9D2E9"/>
        </patternFill>
      </fill>
    </dxf>
    <dxf>
      <font>
        <b/>
        <sz val="10"/>
        <color rgb="FF1F5B5E"/>
        <name val="Arial"/>
        <charset val="1"/>
      </font>
      <fill>
        <patternFill>
          <bgColor rgb="FFB7E1E4"/>
        </patternFill>
      </fill>
    </dxf>
    <dxf>
      <font>
        <b/>
        <sz val="10"/>
        <color rgb="FF7F6000"/>
        <name val="Arial"/>
        <charset val="1"/>
      </font>
      <fill>
        <patternFill>
          <bgColor rgb="FFFFF2CC"/>
        </patternFill>
      </fill>
    </dxf>
    <dxf>
      <font>
        <b/>
        <sz val="10"/>
        <color rgb="FF843C0C"/>
        <name val="Arial"/>
        <charset val="1"/>
      </font>
      <fill>
        <patternFill>
          <bgColor rgb="FFFFE0B2"/>
        </patternFill>
      </fill>
    </dxf>
    <dxf>
      <font>
        <b/>
        <sz val="10"/>
        <color rgb="FF1F4E79"/>
        <name val="Arial"/>
        <charset val="1"/>
      </font>
      <fill>
        <patternFill>
          <bgColor rgb="FFBDD7EE"/>
        </patternFill>
      </fill>
    </dxf>
    <dxf>
      <font>
        <b/>
        <sz val="10"/>
        <color rgb="FF5B2C8D"/>
        <name val="Arial"/>
        <charset val="1"/>
      </font>
      <fill>
        <patternFill>
          <bgColor rgb="FFE4D7F5"/>
        </patternFill>
      </fill>
    </dxf>
    <dxf>
      <font>
        <b/>
        <sz val="10"/>
        <color rgb="FF375623"/>
        <name val="Arial"/>
        <charset val="1"/>
      </font>
      <fill>
        <patternFill>
          <bgColor rgb="FFC6E0B4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808080"/>
        <name val="Arial"/>
        <charset val="1"/>
      </font>
      <fill>
        <patternFill>
          <bgColor rgb="FFE7E6E6"/>
        </patternFill>
      </fill>
    </dxf>
    <dxf>
      <font>
        <b/>
        <sz val="10"/>
        <color rgb="FF5A5424"/>
        <name val="Arial"/>
        <charset val="1"/>
      </font>
      <fill>
        <patternFill>
          <bgColor rgb="FFDDD9C4"/>
        </patternFill>
      </fill>
    </dxf>
    <dxf>
      <font>
        <b/>
        <sz val="10"/>
        <color rgb="FF3F3151"/>
        <name val="Arial"/>
        <charset val="1"/>
      </font>
      <fill>
        <patternFill>
          <bgColor rgb="FFD9D2E9"/>
        </patternFill>
      </fill>
    </dxf>
    <dxf>
      <font>
        <b/>
        <sz val="10"/>
        <color rgb="FF1F5B5E"/>
        <name val="Arial"/>
        <charset val="1"/>
      </font>
      <fill>
        <patternFill>
          <bgColor rgb="FFB7E1E4"/>
        </patternFill>
      </fill>
    </dxf>
    <dxf>
      <font>
        <b/>
        <sz val="10"/>
        <color rgb="FF7F6000"/>
        <name val="Arial"/>
        <charset val="1"/>
      </font>
      <fill>
        <patternFill>
          <bgColor rgb="FFFFF2CC"/>
        </patternFill>
      </fill>
    </dxf>
    <dxf>
      <font>
        <b/>
        <sz val="10"/>
        <color rgb="FF843C0C"/>
        <name val="Arial"/>
        <charset val="1"/>
      </font>
      <fill>
        <patternFill>
          <bgColor rgb="FFFFE0B2"/>
        </patternFill>
      </fill>
    </dxf>
    <dxf>
      <font>
        <b/>
        <sz val="10"/>
        <color rgb="FF1F4E79"/>
        <name val="Arial"/>
        <charset val="1"/>
      </font>
      <fill>
        <patternFill>
          <bgColor rgb="FFBDD7EE"/>
        </patternFill>
      </fill>
    </dxf>
    <dxf>
      <font>
        <b/>
        <sz val="10"/>
        <color rgb="FF5B2C8D"/>
        <name val="Arial"/>
        <charset val="1"/>
      </font>
      <fill>
        <patternFill>
          <bgColor rgb="FFE4D7F5"/>
        </patternFill>
      </fill>
    </dxf>
    <dxf>
      <font>
        <b/>
        <sz val="10"/>
        <color rgb="FF375623"/>
        <name val="Arial"/>
        <charset val="1"/>
      </font>
      <fill>
        <patternFill>
          <bgColor rgb="FFC6E0B4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808080"/>
        <name val="Arial"/>
        <charset val="1"/>
      </font>
      <fill>
        <patternFill>
          <bgColor rgb="FFE7E6E6"/>
        </patternFill>
      </fill>
    </dxf>
    <dxf>
      <font>
        <b/>
        <sz val="10"/>
        <color rgb="FF5A5424"/>
        <name val="Arial"/>
        <charset val="1"/>
      </font>
      <fill>
        <patternFill>
          <bgColor rgb="FFDDD9C4"/>
        </patternFill>
      </fill>
    </dxf>
    <dxf>
      <font>
        <b/>
        <sz val="10"/>
        <color rgb="FF3F3151"/>
        <name val="Arial"/>
        <charset val="1"/>
      </font>
      <fill>
        <patternFill>
          <bgColor rgb="FFD9D2E9"/>
        </patternFill>
      </fill>
    </dxf>
    <dxf>
      <font>
        <b/>
        <sz val="10"/>
        <color rgb="FF1F5B5E"/>
        <name val="Arial"/>
        <charset val="1"/>
      </font>
      <fill>
        <patternFill>
          <bgColor rgb="FFB7E1E4"/>
        </patternFill>
      </fill>
    </dxf>
    <dxf>
      <font>
        <b/>
        <sz val="10"/>
        <color rgb="FF7F6000"/>
        <name val="Arial"/>
        <charset val="1"/>
      </font>
      <fill>
        <patternFill>
          <bgColor rgb="FFFFF2CC"/>
        </patternFill>
      </fill>
    </dxf>
    <dxf>
      <font>
        <b/>
        <sz val="10"/>
        <color rgb="FF843C0C"/>
        <name val="Arial"/>
        <charset val="1"/>
      </font>
      <fill>
        <patternFill>
          <bgColor rgb="FFFFE0B2"/>
        </patternFill>
      </fill>
    </dxf>
    <dxf>
      <font>
        <b/>
        <sz val="10"/>
        <color rgb="FF1F4E79"/>
        <name val="Arial"/>
        <charset val="1"/>
      </font>
      <fill>
        <patternFill>
          <bgColor rgb="FFBDD7EE"/>
        </patternFill>
      </fill>
    </dxf>
    <dxf>
      <font>
        <b/>
        <sz val="10"/>
        <color rgb="FF5B2C8D"/>
        <name val="Arial"/>
        <charset val="1"/>
      </font>
      <fill>
        <patternFill>
          <bgColor rgb="FFE4D7F5"/>
        </patternFill>
      </fill>
    </dxf>
    <dxf>
      <font>
        <b/>
        <sz val="10"/>
        <color rgb="FF375623"/>
        <name val="Arial"/>
        <charset val="1"/>
      </font>
      <fill>
        <patternFill>
          <bgColor rgb="FFC6E0B4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808080"/>
        <name val="Arial"/>
        <charset val="1"/>
      </font>
      <fill>
        <patternFill>
          <bgColor rgb="FFE7E6E6"/>
        </patternFill>
      </fill>
    </dxf>
    <dxf>
      <font>
        <b/>
        <sz val="10"/>
        <color rgb="FF5A5424"/>
        <name val="Arial"/>
        <charset val="1"/>
      </font>
      <fill>
        <patternFill>
          <bgColor rgb="FFDDD9C4"/>
        </patternFill>
      </fill>
    </dxf>
    <dxf>
      <font>
        <b/>
        <sz val="10"/>
        <color rgb="FF3F3151"/>
        <name val="Arial"/>
        <charset val="1"/>
      </font>
      <fill>
        <patternFill>
          <bgColor rgb="FFD9D2E9"/>
        </patternFill>
      </fill>
    </dxf>
    <dxf>
      <font>
        <b/>
        <sz val="10"/>
        <color rgb="FF1F5B5E"/>
        <name val="Arial"/>
        <charset val="1"/>
      </font>
      <fill>
        <patternFill>
          <bgColor rgb="FFB7E1E4"/>
        </patternFill>
      </fill>
    </dxf>
    <dxf>
      <font>
        <b/>
        <sz val="10"/>
        <color rgb="FF7F6000"/>
        <name val="Arial"/>
        <charset val="1"/>
      </font>
      <fill>
        <patternFill>
          <bgColor rgb="FFFFF2CC"/>
        </patternFill>
      </fill>
    </dxf>
    <dxf>
      <font>
        <b/>
        <sz val="10"/>
        <color rgb="FF843C0C"/>
        <name val="Arial"/>
        <charset val="1"/>
      </font>
      <fill>
        <patternFill>
          <bgColor rgb="FFFFE0B2"/>
        </patternFill>
      </fill>
    </dxf>
    <dxf>
      <font>
        <b/>
        <sz val="10"/>
        <color rgb="FF1F4E79"/>
        <name val="Arial"/>
        <charset val="1"/>
      </font>
      <fill>
        <patternFill>
          <bgColor rgb="FFBDD7EE"/>
        </patternFill>
      </fill>
    </dxf>
    <dxf>
      <font>
        <b/>
        <sz val="10"/>
        <color rgb="FF5B2C8D"/>
        <name val="Arial"/>
        <charset val="1"/>
      </font>
      <fill>
        <patternFill>
          <bgColor rgb="FFE4D7F5"/>
        </patternFill>
      </fill>
    </dxf>
    <dxf>
      <font>
        <b/>
        <sz val="10"/>
        <color rgb="FF375623"/>
        <name val="Arial"/>
        <charset val="1"/>
      </font>
      <fill>
        <patternFill>
          <bgColor rgb="FFC6E0B4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808080"/>
        <name val="Arial"/>
        <charset val="1"/>
      </font>
      <fill>
        <patternFill>
          <bgColor rgb="FFE7E6E6"/>
        </patternFill>
      </fill>
    </dxf>
    <dxf>
      <font>
        <b/>
        <sz val="10"/>
        <color rgb="FF5A5424"/>
        <name val="Arial"/>
        <charset val="1"/>
      </font>
      <fill>
        <patternFill>
          <bgColor rgb="FFDDD9C4"/>
        </patternFill>
      </fill>
    </dxf>
    <dxf>
      <font>
        <b/>
        <sz val="10"/>
        <color rgb="FF3F3151"/>
        <name val="Arial"/>
        <charset val="1"/>
      </font>
      <fill>
        <patternFill>
          <bgColor rgb="FFD9D2E9"/>
        </patternFill>
      </fill>
    </dxf>
    <dxf>
      <font>
        <b/>
        <sz val="10"/>
        <color rgb="FF1F5B5E"/>
        <name val="Arial"/>
        <charset val="1"/>
      </font>
      <fill>
        <patternFill>
          <bgColor rgb="FFB7E1E4"/>
        </patternFill>
      </fill>
    </dxf>
    <dxf>
      <font>
        <b/>
        <sz val="10"/>
        <color rgb="FF7F6000"/>
        <name val="Arial"/>
        <charset val="1"/>
      </font>
      <fill>
        <patternFill>
          <bgColor rgb="FFFFF2CC"/>
        </patternFill>
      </fill>
    </dxf>
    <dxf>
      <font>
        <b/>
        <sz val="10"/>
        <color rgb="FF843C0C"/>
        <name val="Arial"/>
        <charset val="1"/>
      </font>
      <fill>
        <patternFill>
          <bgColor rgb="FFFFE0B2"/>
        </patternFill>
      </fill>
    </dxf>
    <dxf>
      <font>
        <b/>
        <sz val="10"/>
        <color rgb="FF1F4E79"/>
        <name val="Arial"/>
        <charset val="1"/>
      </font>
      <fill>
        <patternFill>
          <bgColor rgb="FFBDD7EE"/>
        </patternFill>
      </fill>
    </dxf>
    <dxf>
      <font>
        <b/>
        <sz val="10"/>
        <color rgb="FF5B2C8D"/>
        <name val="Arial"/>
        <charset val="1"/>
      </font>
      <fill>
        <patternFill>
          <bgColor rgb="FFE4D7F5"/>
        </patternFill>
      </fill>
    </dxf>
    <dxf>
      <font>
        <b/>
        <sz val="10"/>
        <color rgb="FF375623"/>
        <name val="Arial"/>
        <charset val="1"/>
      </font>
      <fill>
        <patternFill>
          <bgColor rgb="FFC6E0B4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808080"/>
        <name val="Arial"/>
        <charset val="1"/>
      </font>
      <fill>
        <patternFill>
          <bgColor rgb="FFE7E6E6"/>
        </patternFill>
      </fill>
    </dxf>
    <dxf>
      <font>
        <b/>
        <sz val="10"/>
        <color rgb="FF5A5424"/>
        <name val="Arial"/>
        <charset val="1"/>
      </font>
      <fill>
        <patternFill>
          <bgColor rgb="FFDDD9C4"/>
        </patternFill>
      </fill>
    </dxf>
    <dxf>
      <font>
        <b/>
        <sz val="10"/>
        <color rgb="FF3F3151"/>
        <name val="Arial"/>
        <charset val="1"/>
      </font>
      <fill>
        <patternFill>
          <bgColor rgb="FFD9D2E9"/>
        </patternFill>
      </fill>
    </dxf>
    <dxf>
      <font>
        <b/>
        <sz val="10"/>
        <color rgb="FF1F5B5E"/>
        <name val="Arial"/>
        <charset val="1"/>
      </font>
      <fill>
        <patternFill>
          <bgColor rgb="FFB7E1E4"/>
        </patternFill>
      </fill>
    </dxf>
    <dxf>
      <font>
        <b/>
        <sz val="10"/>
        <color rgb="FF7F6000"/>
        <name val="Arial"/>
        <charset val="1"/>
      </font>
      <fill>
        <patternFill>
          <bgColor rgb="FFFFF2CC"/>
        </patternFill>
      </fill>
    </dxf>
    <dxf>
      <font>
        <b/>
        <sz val="10"/>
        <color rgb="FF843C0C"/>
        <name val="Arial"/>
        <charset val="1"/>
      </font>
      <fill>
        <patternFill>
          <bgColor rgb="FFFFE0B2"/>
        </patternFill>
      </fill>
    </dxf>
    <dxf>
      <font>
        <b/>
        <sz val="10"/>
        <color rgb="FF1F4E79"/>
        <name val="Arial"/>
        <charset val="1"/>
      </font>
      <fill>
        <patternFill>
          <bgColor rgb="FFBDD7EE"/>
        </patternFill>
      </fill>
    </dxf>
    <dxf>
      <font>
        <b/>
        <sz val="10"/>
        <color rgb="FF5B2C8D"/>
        <name val="Arial"/>
        <charset val="1"/>
      </font>
      <fill>
        <patternFill>
          <bgColor rgb="FFE4D7F5"/>
        </patternFill>
      </fill>
    </dxf>
    <dxf>
      <font>
        <b/>
        <sz val="10"/>
        <color rgb="FF375623"/>
        <name val="Arial"/>
        <charset val="1"/>
      </font>
      <fill>
        <patternFill>
          <bgColor rgb="FFC6E0B4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808080"/>
        <name val="Arial"/>
        <charset val="1"/>
      </font>
      <fill>
        <patternFill>
          <bgColor rgb="FFE7E6E6"/>
        </patternFill>
      </fill>
    </dxf>
    <dxf>
      <font>
        <b/>
        <sz val="10"/>
        <color rgb="FF5A5424"/>
        <name val="Arial"/>
        <charset val="1"/>
      </font>
      <fill>
        <patternFill>
          <bgColor rgb="FFDDD9C4"/>
        </patternFill>
      </fill>
    </dxf>
    <dxf>
      <font>
        <b/>
        <sz val="10"/>
        <color rgb="FF3F3151"/>
        <name val="Arial"/>
        <charset val="1"/>
      </font>
      <fill>
        <patternFill>
          <bgColor rgb="FFD9D2E9"/>
        </patternFill>
      </fill>
    </dxf>
    <dxf>
      <font>
        <b/>
        <sz val="10"/>
        <color rgb="FF1F5B5E"/>
        <name val="Arial"/>
        <charset val="1"/>
      </font>
      <fill>
        <patternFill>
          <bgColor rgb="FFB7E1E4"/>
        </patternFill>
      </fill>
    </dxf>
    <dxf>
      <font>
        <b/>
        <sz val="10"/>
        <color rgb="FF7F6000"/>
        <name val="Arial"/>
        <charset val="1"/>
      </font>
      <fill>
        <patternFill>
          <bgColor rgb="FFFFF2CC"/>
        </patternFill>
      </fill>
    </dxf>
    <dxf>
      <font>
        <b/>
        <sz val="10"/>
        <color rgb="FF843C0C"/>
        <name val="Arial"/>
        <charset val="1"/>
      </font>
      <fill>
        <patternFill>
          <bgColor rgb="FFFFE0B2"/>
        </patternFill>
      </fill>
    </dxf>
    <dxf>
      <font>
        <b/>
        <sz val="10"/>
        <color rgb="FF1F4E79"/>
        <name val="Arial"/>
        <charset val="1"/>
      </font>
      <fill>
        <patternFill>
          <bgColor rgb="FFBDD7EE"/>
        </patternFill>
      </fill>
    </dxf>
    <dxf>
      <font>
        <b/>
        <sz val="10"/>
        <color rgb="FF5B2C8D"/>
        <name val="Arial"/>
        <charset val="1"/>
      </font>
      <fill>
        <patternFill>
          <bgColor rgb="FFE4D7F5"/>
        </patternFill>
      </fill>
    </dxf>
    <dxf>
      <font>
        <b/>
        <sz val="10"/>
        <color rgb="FF375623"/>
        <name val="Arial"/>
        <charset val="1"/>
      </font>
      <fill>
        <patternFill>
          <bgColor rgb="FFC6E0B4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1"/>
        <color rgb="FF375623"/>
        <name val="Arial"/>
        <charset val="1"/>
      </font>
      <fill>
        <patternFill>
          <bgColor rgb="FFE2EFDA"/>
        </patternFill>
      </fill>
    </dxf>
    <dxf>
      <font>
        <b/>
        <sz val="11"/>
        <color rgb="FFFFFFFF"/>
        <name val="Arial"/>
        <charset val="1"/>
      </font>
      <fill>
        <patternFill>
          <bgColor rgb="FFC00000"/>
        </patternFill>
      </fill>
    </dxf>
    <dxf>
      <font>
        <b/>
        <sz val="11"/>
        <color rgb="FF375623"/>
        <name val="Arial"/>
        <charset val="1"/>
      </font>
      <fill>
        <patternFill>
          <bgColor rgb="FFE2EFDA"/>
        </patternFill>
      </fill>
    </dxf>
    <dxf>
      <font>
        <b/>
        <sz val="11"/>
        <color rgb="FFFFFFFF"/>
        <name val="Arial"/>
        <charset val="1"/>
      </font>
      <fill>
        <patternFill>
          <bgColor rgb="FFC00000"/>
        </patternFill>
      </fill>
    </dxf>
    <dxf>
      <font>
        <b/>
        <sz val="10"/>
        <color rgb="FF808080"/>
        <name val="Arial"/>
        <charset val="1"/>
      </font>
      <fill>
        <patternFill>
          <bgColor rgb="FFE7E6E6"/>
        </patternFill>
      </fill>
    </dxf>
    <dxf>
      <font>
        <b/>
        <sz val="10"/>
        <color rgb="FF5A5424"/>
        <name val="Arial"/>
        <charset val="1"/>
      </font>
      <fill>
        <patternFill>
          <bgColor rgb="FFDDD9C4"/>
        </patternFill>
      </fill>
    </dxf>
    <dxf>
      <font>
        <b/>
        <sz val="10"/>
        <color rgb="FF3F3151"/>
        <name val="Arial"/>
        <charset val="1"/>
      </font>
      <fill>
        <patternFill>
          <bgColor rgb="FFD9D2E9"/>
        </patternFill>
      </fill>
    </dxf>
    <dxf>
      <font>
        <b/>
        <sz val="10"/>
        <color rgb="FF1F5B5E"/>
        <name val="Arial"/>
        <charset val="1"/>
      </font>
      <fill>
        <patternFill>
          <bgColor rgb="FFB7E1E4"/>
        </patternFill>
      </fill>
    </dxf>
    <dxf>
      <font>
        <b/>
        <sz val="10"/>
        <color rgb="FF7F6000"/>
        <name val="Arial"/>
        <charset val="1"/>
      </font>
      <fill>
        <patternFill>
          <bgColor rgb="FFFFF2CC"/>
        </patternFill>
      </fill>
    </dxf>
    <dxf>
      <font>
        <b/>
        <sz val="10"/>
        <color rgb="FF843C0C"/>
        <name val="Arial"/>
        <charset val="1"/>
      </font>
      <fill>
        <patternFill>
          <bgColor rgb="FFFFE0B2"/>
        </patternFill>
      </fill>
    </dxf>
    <dxf>
      <font>
        <b/>
        <sz val="10"/>
        <color rgb="FF1F4E79"/>
        <name val="Arial"/>
        <charset val="1"/>
      </font>
      <fill>
        <patternFill>
          <bgColor rgb="FFBDD7EE"/>
        </patternFill>
      </fill>
    </dxf>
    <dxf>
      <font>
        <b/>
        <sz val="10"/>
        <color rgb="FF5B2C8D"/>
        <name val="Arial"/>
        <charset val="1"/>
      </font>
      <fill>
        <patternFill>
          <bgColor rgb="FFE4D7F5"/>
        </patternFill>
      </fill>
    </dxf>
    <dxf>
      <font>
        <b/>
        <sz val="10"/>
        <color rgb="FF375623"/>
        <name val="Arial"/>
        <charset val="1"/>
      </font>
      <fill>
        <patternFill>
          <bgColor rgb="FFC6E0B4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1"/>
        <color rgb="FF7F6000"/>
        <name val="Arial"/>
        <charset val="1"/>
      </font>
      <fill>
        <patternFill>
          <bgColor rgb="FFFFD96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7F6000"/>
      <rgbColor rgb="FF800080"/>
      <rgbColor rgb="FF1F5B5E"/>
      <rgbColor rgb="FFBFBFBF"/>
      <rgbColor rgb="FF808080"/>
      <rgbColor rgb="FFB7E1E4"/>
      <rgbColor rgb="FF5A5424"/>
      <rgbColor rgb="FFFFF2CC"/>
      <rgbColor rgb="FFF2F2F2"/>
      <rgbColor rgb="FF660066"/>
      <rgbColor rgb="FFFF8080"/>
      <rgbColor rgb="FF2E5C8A"/>
      <rgbColor rgb="FFD9D2E9"/>
      <rgbColor rgb="FF000080"/>
      <rgbColor rgb="FFFF00FF"/>
      <rgbColor rgb="FFFFFF00"/>
      <rgbColor rgb="FF00FFFF"/>
      <rgbColor rgb="FF800080"/>
      <rgbColor rgb="FF800000"/>
      <rgbColor rgb="FF1F4E79"/>
      <rgbColor rgb="FF0000FF"/>
      <rgbColor rgb="FF00CCFF"/>
      <rgbColor rgb="FFE7E6E6"/>
      <rgbColor rgb="FFE2EFDA"/>
      <rgbColor rgb="FFFFD966"/>
      <rgbColor rgb="FFBDD7EE"/>
      <rgbColor rgb="FFFFC7CE"/>
      <rgbColor rgb="FFE4D7F5"/>
      <rgbColor rgb="FFFFE0B2"/>
      <rgbColor rgb="FF44546A"/>
      <rgbColor rgb="FF33CCCC"/>
      <rgbColor rgb="FF99CC00"/>
      <rgbColor rgb="FFDDD9C4"/>
      <rgbColor rgb="FFFF9900"/>
      <rgbColor rgb="FFFF6600"/>
      <rgbColor rgb="FF595959"/>
      <rgbColor rgb="FFC6E0B4"/>
      <rgbColor rgb="FF1F3864"/>
      <rgbColor rgb="FF339966"/>
      <rgbColor rgb="FF375623"/>
      <rgbColor rgb="FF404040"/>
      <rgbColor rgb="FF843C0C"/>
      <rgbColor rgb="FF993366"/>
      <rgbColor rgb="FF5B2C8D"/>
      <rgbColor rgb="FF3F315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55"/>
  <sheetViews>
    <sheetView showGridLines="0" topLeftCell="A2" zoomScale="173" zoomScaleNormal="100" workbookViewId="0">
      <selection activeCell="F15" sqref="F15"/>
    </sheetView>
  </sheetViews>
  <sheetFormatPr baseColWidth="10" defaultColWidth="8.6640625" defaultRowHeight="15" x14ac:dyDescent="0.2"/>
  <cols>
    <col min="1" max="1" width="2" customWidth="1"/>
    <col min="2" max="2" width="18" customWidth="1"/>
    <col min="3" max="3" width="14" customWidth="1"/>
    <col min="4" max="5" width="15" customWidth="1"/>
    <col min="6" max="6" width="14" customWidth="1"/>
    <col min="7" max="8" width="24" customWidth="1"/>
    <col min="9" max="9" width="3" customWidth="1"/>
    <col min="10" max="10" width="12" customWidth="1"/>
  </cols>
  <sheetData>
    <row r="2" spans="2:10" ht="25.5" customHeight="1" x14ac:dyDescent="0.2">
      <c r="B2" s="7" t="s">
        <v>0</v>
      </c>
      <c r="C2" s="7"/>
      <c r="D2" s="7"/>
      <c r="E2" s="7"/>
      <c r="F2" s="7"/>
      <c r="G2" s="7"/>
      <c r="H2" s="7"/>
      <c r="I2" s="7"/>
      <c r="J2" s="7"/>
    </row>
    <row r="3" spans="2:10" x14ac:dyDescent="0.2">
      <c r="B3" s="6"/>
      <c r="C3" s="6"/>
      <c r="D3" s="6"/>
      <c r="E3" s="6"/>
      <c r="F3" s="6"/>
      <c r="G3" s="6"/>
      <c r="H3" s="6"/>
      <c r="I3" s="6"/>
      <c r="J3" s="6"/>
    </row>
    <row r="5" spans="2:10" x14ac:dyDescent="0.2">
      <c r="B5" s="9" t="s">
        <v>1</v>
      </c>
      <c r="C5" s="9" t="s">
        <v>2</v>
      </c>
      <c r="D5" s="9" t="s">
        <v>3</v>
      </c>
      <c r="E5" s="9" t="s">
        <v>4</v>
      </c>
      <c r="F5" s="9" t="s">
        <v>5</v>
      </c>
      <c r="G5" s="9" t="s">
        <v>6</v>
      </c>
      <c r="H5" s="9" t="s">
        <v>7</v>
      </c>
      <c r="J5" s="9" t="s">
        <v>8</v>
      </c>
    </row>
    <row r="6" spans="2:10" x14ac:dyDescent="0.2">
      <c r="B6" s="10" t="s">
        <v>9</v>
      </c>
      <c r="C6" s="11">
        <f>COUNTA(B$15:B$22)</f>
        <v>5</v>
      </c>
      <c r="D6" s="11">
        <f>COUNTIFS($C$26:$C$65,$B6,$D$26:$D$65,"F")</f>
        <v>4</v>
      </c>
      <c r="E6" s="11">
        <f>COUNTIFS($C$26:$C$65,$B6,$D$26:$D$65,"G")</f>
        <v>1</v>
      </c>
      <c r="F6" s="12" t="s">
        <v>45</v>
      </c>
      <c r="G6" s="13" t="s">
        <v>10</v>
      </c>
      <c r="H6" s="14"/>
      <c r="J6" s="15" t="s">
        <v>11</v>
      </c>
    </row>
    <row r="7" spans="2:10" x14ac:dyDescent="0.2">
      <c r="B7" s="10" t="s">
        <v>12</v>
      </c>
      <c r="C7" s="11">
        <f>COUNTA(C$15:C$22)</f>
        <v>5</v>
      </c>
      <c r="D7" s="11">
        <f>COUNTIFS($C$26:$C$65,$B7,$D$26:$D$65,"F")</f>
        <v>2</v>
      </c>
      <c r="E7" s="11">
        <f>COUNTIFS($C$26:$C$65,$B7,$D$26:$D$65,"G")</f>
        <v>3</v>
      </c>
      <c r="F7" s="12" t="s">
        <v>33</v>
      </c>
      <c r="G7" s="16" t="s">
        <v>13</v>
      </c>
      <c r="H7" s="14"/>
      <c r="J7" s="15" t="s">
        <v>14</v>
      </c>
    </row>
    <row r="8" spans="2:10" x14ac:dyDescent="0.2">
      <c r="B8" s="10" t="s">
        <v>15</v>
      </c>
      <c r="C8" s="11">
        <f>COUNTA(D$15:D$22)</f>
        <v>5</v>
      </c>
      <c r="D8" s="11">
        <f>COUNTIFS($C$26:$C$65,$B8,$D$26:$D$65,"F")</f>
        <v>3</v>
      </c>
      <c r="E8" s="11">
        <f>COUNTIFS($C$26:$C$65,$B8,$D$26:$D$65,"G")</f>
        <v>2</v>
      </c>
      <c r="F8" s="12" t="s">
        <v>129</v>
      </c>
      <c r="G8" s="17" t="s">
        <v>16</v>
      </c>
      <c r="H8" s="14"/>
      <c r="J8" s="15" t="s">
        <v>17</v>
      </c>
    </row>
    <row r="9" spans="2:10" x14ac:dyDescent="0.2">
      <c r="B9" s="10" t="s">
        <v>18</v>
      </c>
      <c r="C9" s="11">
        <f>COUNTA(E$15:E$22)</f>
        <v>5</v>
      </c>
      <c r="D9" s="11">
        <f>COUNTIFS($C$26:$C$65,$B9,$D$26:$D$65,"F")</f>
        <v>2</v>
      </c>
      <c r="E9" s="11">
        <f>COUNTIFS($C$26:$C$65,$B9,$D$26:$D$65,"G")</f>
        <v>3</v>
      </c>
      <c r="F9" s="12" t="s">
        <v>53</v>
      </c>
      <c r="G9" s="18" t="s">
        <v>19</v>
      </c>
      <c r="H9" s="14"/>
      <c r="J9" s="15" t="s">
        <v>20</v>
      </c>
    </row>
    <row r="10" spans="2:10" x14ac:dyDescent="0.2">
      <c r="B10" s="10" t="s">
        <v>21</v>
      </c>
      <c r="C10" s="11">
        <f>COUNTA(F$15:F$22)</f>
        <v>4</v>
      </c>
      <c r="D10" s="11">
        <f>COUNTIFS($C$26:$C$65,$B10,$D$26:$D$65,"F")</f>
        <v>1</v>
      </c>
      <c r="E10" s="11">
        <f>COUNTIFS($C$26:$C$65,$B10,$D$26:$D$65,"G")</f>
        <v>3</v>
      </c>
      <c r="F10" s="12" t="s">
        <v>56</v>
      </c>
      <c r="G10" s="19" t="s">
        <v>22</v>
      </c>
      <c r="H10" s="14"/>
      <c r="J10" s="15" t="s">
        <v>23</v>
      </c>
    </row>
    <row r="11" spans="2:10" x14ac:dyDescent="0.2">
      <c r="G11" s="20" t="s">
        <v>24</v>
      </c>
      <c r="H11" s="14"/>
      <c r="J11" s="15" t="s">
        <v>25</v>
      </c>
    </row>
    <row r="12" spans="2:10" x14ac:dyDescent="0.2">
      <c r="G12" s="21" t="s">
        <v>26</v>
      </c>
      <c r="H12" s="14"/>
      <c r="J12" s="15" t="s">
        <v>27</v>
      </c>
    </row>
    <row r="13" spans="2:10" ht="19.5" customHeight="1" x14ac:dyDescent="0.2">
      <c r="B13" s="49" t="s">
        <v>130</v>
      </c>
      <c r="C13" s="49"/>
      <c r="D13" s="49"/>
      <c r="E13" s="49"/>
      <c r="F13" s="49"/>
      <c r="G13" s="22" t="s">
        <v>28</v>
      </c>
      <c r="H13" s="14"/>
      <c r="J13" s="15" t="s">
        <v>29</v>
      </c>
    </row>
    <row r="14" spans="2:10" x14ac:dyDescent="0.2">
      <c r="B14" s="9" t="str">
        <f>$B$6</f>
        <v>Équipe 1</v>
      </c>
      <c r="C14" s="9" t="str">
        <f>$B$7</f>
        <v>Équipe 2</v>
      </c>
      <c r="D14" s="9" t="str">
        <f>$B$8</f>
        <v>Équipe 3</v>
      </c>
      <c r="E14" s="9" t="str">
        <f>$B$9</f>
        <v>Équipe 4</v>
      </c>
      <c r="F14" s="9" t="str">
        <f>$B$10</f>
        <v>Équipe 5</v>
      </c>
      <c r="G14" s="22" t="s">
        <v>137</v>
      </c>
      <c r="H14" s="14"/>
      <c r="J14" s="15" t="s">
        <v>31</v>
      </c>
    </row>
    <row r="15" spans="2:10" ht="19.5" customHeight="1" x14ac:dyDescent="0.2">
      <c r="B15" s="24" t="s">
        <v>45</v>
      </c>
      <c r="C15" s="24" t="s">
        <v>33</v>
      </c>
      <c r="D15" s="24" t="s">
        <v>129</v>
      </c>
      <c r="E15" s="24" t="s">
        <v>53</v>
      </c>
      <c r="F15" s="24" t="s">
        <v>56</v>
      </c>
      <c r="G15" s="61" t="s">
        <v>137</v>
      </c>
      <c r="H15" s="14"/>
      <c r="J15" s="15" t="s">
        <v>38</v>
      </c>
    </row>
    <row r="16" spans="2:10" ht="19.5" customHeight="1" x14ac:dyDescent="0.2">
      <c r="B16" s="24" t="s">
        <v>39</v>
      </c>
      <c r="C16" s="24" t="s">
        <v>40</v>
      </c>
      <c r="D16" s="24" t="s">
        <v>41</v>
      </c>
      <c r="E16" s="24" t="s">
        <v>42</v>
      </c>
      <c r="F16" s="24" t="s">
        <v>43</v>
      </c>
      <c r="G16" s="59" t="s">
        <v>135</v>
      </c>
      <c r="J16" s="15" t="s">
        <v>44</v>
      </c>
    </row>
    <row r="17" spans="2:10" ht="19.5" customHeight="1" x14ac:dyDescent="0.2">
      <c r="B17" s="24" t="s">
        <v>32</v>
      </c>
      <c r="C17" s="24" t="s">
        <v>46</v>
      </c>
      <c r="D17" s="24" t="s">
        <v>47</v>
      </c>
      <c r="E17" s="24" t="s">
        <v>48</v>
      </c>
      <c r="F17" s="24" t="s">
        <v>49</v>
      </c>
      <c r="G17" s="53" t="s">
        <v>133</v>
      </c>
      <c r="H17" s="8"/>
      <c r="J17" s="15" t="s">
        <v>50</v>
      </c>
    </row>
    <row r="18" spans="2:10" ht="19.5" customHeight="1" x14ac:dyDescent="0.2">
      <c r="B18" s="24" t="s">
        <v>51</v>
      </c>
      <c r="C18" s="24" t="s">
        <v>52</v>
      </c>
      <c r="D18" s="24" t="s">
        <v>34</v>
      </c>
      <c r="E18" s="24" t="s">
        <v>35</v>
      </c>
      <c r="F18" s="24" t="s">
        <v>36</v>
      </c>
      <c r="G18" s="52" t="s">
        <v>132</v>
      </c>
      <c r="J18" s="15" t="s">
        <v>55</v>
      </c>
    </row>
    <row r="19" spans="2:10" ht="19.5" customHeight="1" x14ac:dyDescent="0.2">
      <c r="B19" s="24" t="s">
        <v>54</v>
      </c>
      <c r="C19" s="24" t="s">
        <v>57</v>
      </c>
      <c r="D19" s="24" t="s">
        <v>58</v>
      </c>
      <c r="E19" s="24" t="s">
        <v>59</v>
      </c>
      <c r="F19" s="24"/>
      <c r="G19" s="23" t="s">
        <v>30</v>
      </c>
      <c r="J19" s="15" t="s">
        <v>60</v>
      </c>
    </row>
    <row r="20" spans="2:10" ht="19.5" customHeight="1" x14ac:dyDescent="0.2">
      <c r="B20" s="24"/>
      <c r="C20" s="24"/>
      <c r="D20" s="24"/>
      <c r="E20" s="24"/>
      <c r="F20" s="24"/>
      <c r="G20" s="25" t="s">
        <v>37</v>
      </c>
      <c r="J20" s="15" t="s">
        <v>61</v>
      </c>
    </row>
    <row r="21" spans="2:10" ht="19.5" customHeight="1" x14ac:dyDescent="0.2">
      <c r="B21" s="24"/>
      <c r="C21" s="24"/>
      <c r="D21" s="24"/>
      <c r="E21" s="24"/>
      <c r="F21" s="24"/>
      <c r="G21" s="51"/>
      <c r="J21" s="15" t="s">
        <v>62</v>
      </c>
    </row>
    <row r="22" spans="2:10" ht="19.5" customHeight="1" x14ac:dyDescent="0.2">
      <c r="B22" s="24"/>
      <c r="C22" s="24"/>
      <c r="D22" s="24"/>
      <c r="E22" s="24"/>
      <c r="F22" s="24"/>
      <c r="G22" s="8"/>
      <c r="J22" s="15" t="s">
        <v>63</v>
      </c>
    </row>
    <row r="23" spans="2:10" x14ac:dyDescent="0.2">
      <c r="B23" s="8"/>
      <c r="C23" s="8"/>
      <c r="D23" s="8"/>
      <c r="E23" s="8"/>
      <c r="F23" s="8"/>
      <c r="H23" s="8"/>
      <c r="J23" s="15" t="s">
        <v>64</v>
      </c>
    </row>
    <row r="24" spans="2:10" x14ac:dyDescent="0.2">
      <c r="B24" s="5" t="s">
        <v>65</v>
      </c>
      <c r="C24" s="5"/>
      <c r="D24" s="5"/>
      <c r="E24" s="5"/>
      <c r="F24" s="5"/>
      <c r="J24" s="15" t="s">
        <v>66</v>
      </c>
    </row>
    <row r="25" spans="2:10" x14ac:dyDescent="0.2">
      <c r="B25" s="9" t="s">
        <v>67</v>
      </c>
      <c r="C25" s="9" t="s">
        <v>68</v>
      </c>
      <c r="D25" s="9" t="s">
        <v>69</v>
      </c>
      <c r="E25" s="9" t="s">
        <v>70</v>
      </c>
      <c r="F25" s="9" t="s">
        <v>71</v>
      </c>
      <c r="J25" s="15" t="s">
        <v>72</v>
      </c>
    </row>
    <row r="26" spans="2:10" x14ac:dyDescent="0.2">
      <c r="B26" s="26" t="s">
        <v>32</v>
      </c>
      <c r="C26" s="27" t="str">
        <f t="shared" ref="C26:C55" si="0">IF(COUNTIF($B$15:$F$22,$B26)&lt;&gt;1,"",INDEX($B$14:$F$14,SUMPRODUCT(($B$15:$F$22=$B26)*(COLUMN($B$15:$F$22)-COLUMN($B$15)+1))))</f>
        <v>Équipe 1</v>
      </c>
      <c r="D26" s="28" t="s">
        <v>73</v>
      </c>
      <c r="E26" s="29"/>
      <c r="F26" s="27" t="str">
        <f t="shared" ref="F26:F55" si="1">IF($B26="","",IF(COUNTIF($B$15:$F$22,$B26)=1,"✔",IF(COUNTIF($B$15:$F$22,$B26)=0,"⚠ non placé","⚠ en double")))</f>
        <v>✔</v>
      </c>
      <c r="J26" s="15" t="s">
        <v>74</v>
      </c>
    </row>
    <row r="27" spans="2:10" x14ac:dyDescent="0.2">
      <c r="B27" s="26" t="s">
        <v>39</v>
      </c>
      <c r="C27" s="27" t="str">
        <f t="shared" si="0"/>
        <v>Équipe 1</v>
      </c>
      <c r="D27" s="28" t="s">
        <v>73</v>
      </c>
      <c r="E27" s="29"/>
      <c r="F27" s="27" t="str">
        <f t="shared" si="1"/>
        <v>✔</v>
      </c>
      <c r="J27" s="15" t="s">
        <v>75</v>
      </c>
    </row>
    <row r="28" spans="2:10" x14ac:dyDescent="0.2">
      <c r="B28" s="26" t="s">
        <v>45</v>
      </c>
      <c r="C28" s="27" t="str">
        <f t="shared" si="0"/>
        <v>Équipe 1</v>
      </c>
      <c r="D28" s="28" t="s">
        <v>73</v>
      </c>
      <c r="E28" s="29"/>
      <c r="F28" s="27" t="str">
        <f t="shared" si="1"/>
        <v>✔</v>
      </c>
      <c r="G28" s="8"/>
      <c r="J28" s="15" t="s">
        <v>76</v>
      </c>
    </row>
    <row r="29" spans="2:10" x14ac:dyDescent="0.2">
      <c r="B29" s="26" t="s">
        <v>51</v>
      </c>
      <c r="C29" s="27" t="str">
        <f t="shared" si="0"/>
        <v>Équipe 1</v>
      </c>
      <c r="D29" s="28" t="s">
        <v>77</v>
      </c>
      <c r="E29" s="29"/>
      <c r="F29" s="27" t="str">
        <f t="shared" si="1"/>
        <v>✔</v>
      </c>
      <c r="J29" s="15" t="s">
        <v>78</v>
      </c>
    </row>
    <row r="30" spans="2:10" x14ac:dyDescent="0.2">
      <c r="B30" s="26" t="s">
        <v>56</v>
      </c>
      <c r="C30" s="27" t="str">
        <f t="shared" si="0"/>
        <v>Équipe 5</v>
      </c>
      <c r="D30" s="28" t="s">
        <v>77</v>
      </c>
      <c r="E30" s="29"/>
      <c r="F30" s="27" t="str">
        <f t="shared" si="1"/>
        <v>✔</v>
      </c>
    </row>
    <row r="31" spans="2:10" x14ac:dyDescent="0.2">
      <c r="B31" s="26" t="s">
        <v>33</v>
      </c>
      <c r="C31" s="27" t="str">
        <f t="shared" si="0"/>
        <v>Équipe 2</v>
      </c>
      <c r="D31" s="28" t="s">
        <v>73</v>
      </c>
      <c r="E31" s="29"/>
      <c r="F31" s="27" t="str">
        <f t="shared" si="1"/>
        <v>✔</v>
      </c>
    </row>
    <row r="32" spans="2:10" x14ac:dyDescent="0.2">
      <c r="B32" s="26" t="s">
        <v>40</v>
      </c>
      <c r="C32" s="27" t="str">
        <f t="shared" si="0"/>
        <v>Équipe 2</v>
      </c>
      <c r="D32" s="28" t="s">
        <v>77</v>
      </c>
      <c r="E32" s="29"/>
      <c r="F32" s="27" t="str">
        <f t="shared" si="1"/>
        <v>✔</v>
      </c>
    </row>
    <row r="33" spans="2:6" x14ac:dyDescent="0.2">
      <c r="B33" s="26" t="s">
        <v>46</v>
      </c>
      <c r="C33" s="27" t="str">
        <f t="shared" si="0"/>
        <v>Équipe 2</v>
      </c>
      <c r="D33" s="28" t="s">
        <v>77</v>
      </c>
      <c r="E33" s="29"/>
      <c r="F33" s="27" t="str">
        <f t="shared" si="1"/>
        <v>✔</v>
      </c>
    </row>
    <row r="34" spans="2:6" x14ac:dyDescent="0.2">
      <c r="B34" s="26" t="s">
        <v>52</v>
      </c>
      <c r="C34" s="27" t="str">
        <f t="shared" si="0"/>
        <v>Équipe 2</v>
      </c>
      <c r="D34" s="28" t="s">
        <v>77</v>
      </c>
      <c r="E34" s="29"/>
      <c r="F34" s="27" t="str">
        <f t="shared" si="1"/>
        <v>✔</v>
      </c>
    </row>
    <row r="35" spans="2:6" x14ac:dyDescent="0.2">
      <c r="B35" s="26" t="s">
        <v>57</v>
      </c>
      <c r="C35" s="27" t="str">
        <f t="shared" si="0"/>
        <v>Équipe 2</v>
      </c>
      <c r="D35" s="28" t="s">
        <v>73</v>
      </c>
      <c r="E35" s="29"/>
      <c r="F35" s="27" t="str">
        <f t="shared" si="1"/>
        <v>✔</v>
      </c>
    </row>
    <row r="36" spans="2:6" x14ac:dyDescent="0.2">
      <c r="B36" s="26" t="s">
        <v>34</v>
      </c>
      <c r="C36" s="27" t="str">
        <f t="shared" si="0"/>
        <v>Équipe 3</v>
      </c>
      <c r="D36" s="28" t="s">
        <v>77</v>
      </c>
      <c r="E36" s="29"/>
      <c r="F36" s="27" t="str">
        <f t="shared" si="1"/>
        <v>✔</v>
      </c>
    </row>
    <row r="37" spans="2:6" x14ac:dyDescent="0.2">
      <c r="B37" s="26" t="s">
        <v>41</v>
      </c>
      <c r="C37" s="27" t="str">
        <f t="shared" si="0"/>
        <v>Équipe 3</v>
      </c>
      <c r="D37" s="28" t="s">
        <v>73</v>
      </c>
      <c r="E37" s="29"/>
      <c r="F37" s="27" t="str">
        <f t="shared" si="1"/>
        <v>✔</v>
      </c>
    </row>
    <row r="38" spans="2:6" x14ac:dyDescent="0.2">
      <c r="B38" s="26" t="s">
        <v>47</v>
      </c>
      <c r="C38" s="27" t="str">
        <f t="shared" si="0"/>
        <v>Équipe 3</v>
      </c>
      <c r="D38" s="28" t="s">
        <v>73</v>
      </c>
      <c r="E38" s="29"/>
      <c r="F38" s="27" t="str">
        <f t="shared" si="1"/>
        <v>✔</v>
      </c>
    </row>
    <row r="39" spans="2:6" x14ac:dyDescent="0.2">
      <c r="B39" s="48" t="s">
        <v>129</v>
      </c>
      <c r="C39" s="27" t="str">
        <f t="shared" si="0"/>
        <v>Équipe 3</v>
      </c>
      <c r="D39" s="28" t="s">
        <v>73</v>
      </c>
      <c r="E39" s="29"/>
      <c r="F39" s="27" t="str">
        <f t="shared" si="1"/>
        <v>✔</v>
      </c>
    </row>
    <row r="40" spans="2:6" x14ac:dyDescent="0.2">
      <c r="B40" s="26" t="s">
        <v>58</v>
      </c>
      <c r="C40" s="27" t="str">
        <f t="shared" si="0"/>
        <v>Équipe 3</v>
      </c>
      <c r="D40" s="28" t="s">
        <v>77</v>
      </c>
      <c r="E40" s="29"/>
      <c r="F40" s="27" t="str">
        <f t="shared" si="1"/>
        <v>✔</v>
      </c>
    </row>
    <row r="41" spans="2:6" x14ac:dyDescent="0.2">
      <c r="B41" s="26" t="s">
        <v>35</v>
      </c>
      <c r="C41" s="27" t="str">
        <f t="shared" si="0"/>
        <v>Équipe 4</v>
      </c>
      <c r="D41" s="28" t="s">
        <v>77</v>
      </c>
      <c r="E41" s="29"/>
      <c r="F41" s="27" t="str">
        <f t="shared" si="1"/>
        <v>✔</v>
      </c>
    </row>
    <row r="42" spans="2:6" x14ac:dyDescent="0.2">
      <c r="B42" s="26" t="s">
        <v>42</v>
      </c>
      <c r="C42" s="27" t="str">
        <f t="shared" si="0"/>
        <v>Équipe 4</v>
      </c>
      <c r="D42" s="28" t="s">
        <v>77</v>
      </c>
      <c r="E42" s="29"/>
      <c r="F42" s="27" t="str">
        <f t="shared" si="1"/>
        <v>✔</v>
      </c>
    </row>
    <row r="43" spans="2:6" x14ac:dyDescent="0.2">
      <c r="B43" s="26" t="s">
        <v>48</v>
      </c>
      <c r="C43" s="27" t="str">
        <f t="shared" si="0"/>
        <v>Équipe 4</v>
      </c>
      <c r="D43" s="28" t="s">
        <v>73</v>
      </c>
      <c r="E43" s="29"/>
      <c r="F43" s="27" t="str">
        <f t="shared" si="1"/>
        <v>✔</v>
      </c>
    </row>
    <row r="44" spans="2:6" x14ac:dyDescent="0.2">
      <c r="B44" s="26" t="s">
        <v>53</v>
      </c>
      <c r="C44" s="27" t="str">
        <f t="shared" si="0"/>
        <v>Équipe 4</v>
      </c>
      <c r="D44" s="28" t="s">
        <v>73</v>
      </c>
      <c r="E44" s="29"/>
      <c r="F44" s="27" t="str">
        <f t="shared" si="1"/>
        <v>✔</v>
      </c>
    </row>
    <row r="45" spans="2:6" x14ac:dyDescent="0.2">
      <c r="B45" s="26" t="s">
        <v>59</v>
      </c>
      <c r="C45" s="27" t="str">
        <f t="shared" si="0"/>
        <v>Équipe 4</v>
      </c>
      <c r="D45" s="28" t="s">
        <v>77</v>
      </c>
      <c r="E45" s="29"/>
      <c r="F45" s="27" t="str">
        <f t="shared" si="1"/>
        <v>✔</v>
      </c>
    </row>
    <row r="46" spans="2:6" x14ac:dyDescent="0.2">
      <c r="B46" s="26" t="s">
        <v>36</v>
      </c>
      <c r="C46" s="27" t="str">
        <f t="shared" si="0"/>
        <v>Équipe 5</v>
      </c>
      <c r="D46" s="28" t="s">
        <v>73</v>
      </c>
      <c r="E46" s="29"/>
      <c r="F46" s="27" t="str">
        <f t="shared" si="1"/>
        <v>✔</v>
      </c>
    </row>
    <row r="47" spans="2:6" x14ac:dyDescent="0.2">
      <c r="B47" s="26" t="s">
        <v>43</v>
      </c>
      <c r="C47" s="27" t="str">
        <f t="shared" si="0"/>
        <v>Équipe 5</v>
      </c>
      <c r="D47" s="28" t="s">
        <v>77</v>
      </c>
      <c r="E47" s="29"/>
      <c r="F47" s="27" t="str">
        <f t="shared" si="1"/>
        <v>✔</v>
      </c>
    </row>
    <row r="48" spans="2:6" x14ac:dyDescent="0.2">
      <c r="B48" s="26" t="s">
        <v>49</v>
      </c>
      <c r="C48" s="27" t="str">
        <f t="shared" si="0"/>
        <v>Équipe 5</v>
      </c>
      <c r="D48" s="28" t="s">
        <v>77</v>
      </c>
      <c r="E48" s="29"/>
      <c r="F48" s="27" t="str">
        <f t="shared" si="1"/>
        <v>✔</v>
      </c>
    </row>
    <row r="49" spans="2:6" x14ac:dyDescent="0.2">
      <c r="B49" s="26" t="s">
        <v>54</v>
      </c>
      <c r="C49" s="27" t="str">
        <f t="shared" si="0"/>
        <v>Équipe 1</v>
      </c>
      <c r="D49" s="28" t="s">
        <v>73</v>
      </c>
      <c r="E49" s="29"/>
      <c r="F49" s="27" t="str">
        <f t="shared" si="1"/>
        <v>✔</v>
      </c>
    </row>
    <row r="50" spans="2:6" x14ac:dyDescent="0.2">
      <c r="B50" s="14"/>
      <c r="C50" s="27" t="str">
        <f t="shared" si="0"/>
        <v/>
      </c>
      <c r="D50" s="14"/>
      <c r="E50" s="14"/>
      <c r="F50" s="27" t="str">
        <f t="shared" si="1"/>
        <v/>
      </c>
    </row>
    <row r="51" spans="2:6" x14ac:dyDescent="0.2">
      <c r="B51" s="14"/>
      <c r="C51" s="27" t="str">
        <f t="shared" si="0"/>
        <v/>
      </c>
      <c r="D51" s="14"/>
      <c r="E51" s="14"/>
      <c r="F51" s="27" t="str">
        <f t="shared" si="1"/>
        <v/>
      </c>
    </row>
    <row r="52" spans="2:6" x14ac:dyDescent="0.2">
      <c r="B52" s="14"/>
      <c r="C52" s="27" t="str">
        <f t="shared" si="0"/>
        <v/>
      </c>
      <c r="D52" s="14"/>
      <c r="E52" s="14"/>
      <c r="F52" s="27" t="str">
        <f t="shared" si="1"/>
        <v/>
      </c>
    </row>
    <row r="53" spans="2:6" x14ac:dyDescent="0.2">
      <c r="B53" s="14"/>
      <c r="C53" s="27" t="str">
        <f t="shared" si="0"/>
        <v/>
      </c>
      <c r="D53" s="14"/>
      <c r="E53" s="14"/>
      <c r="F53" s="27" t="str">
        <f t="shared" si="1"/>
        <v/>
      </c>
    </row>
    <row r="54" spans="2:6" x14ac:dyDescent="0.2">
      <c r="B54" s="14"/>
      <c r="C54" s="27" t="str">
        <f t="shared" si="0"/>
        <v/>
      </c>
      <c r="D54" s="14"/>
      <c r="E54" s="14"/>
      <c r="F54" s="27" t="str">
        <f t="shared" si="1"/>
        <v/>
      </c>
    </row>
    <row r="55" spans="2:6" x14ac:dyDescent="0.2">
      <c r="B55" s="14"/>
      <c r="C55" s="27" t="str">
        <f t="shared" si="0"/>
        <v/>
      </c>
      <c r="D55" s="14"/>
      <c r="E55" s="14"/>
      <c r="F55" s="27" t="str">
        <f t="shared" si="1"/>
        <v/>
      </c>
    </row>
  </sheetData>
  <mergeCells count="4">
    <mergeCell ref="B24:F24"/>
    <mergeCell ref="B2:J2"/>
    <mergeCell ref="B3:J3"/>
    <mergeCell ref="B13:F13"/>
  </mergeCells>
  <conditionalFormatting sqref="B15:F22 G21">
    <cfRule type="expression" dxfId="466" priority="3">
      <formula>AND(B15&lt;&gt;"",B15=INDEX($F$6:$F$10,COLUMN()-1))</formula>
    </cfRule>
  </conditionalFormatting>
  <conditionalFormatting sqref="F6:F10">
    <cfRule type="expression" dxfId="465" priority="2">
      <formula>AND(F6&lt;&gt;"",COUNTIF(INDEX($B$15:$F$22,0,ROW()-5),F6)=0)</formula>
    </cfRule>
  </conditionalFormatting>
  <conditionalFormatting sqref="F26:F55">
    <cfRule type="expression" dxfId="464" priority="4">
      <formula>LEFT(F26,1)="⚠"</formula>
    </cfRule>
  </conditionalFormatting>
  <dataValidations count="2">
    <dataValidation type="list" allowBlank="1" sqref="D26:D49" xr:uid="{00000000-0002-0000-0000-000000000000}">
      <formula1>"F,G"</formula1>
      <formula2>0</formula2>
    </dataValidation>
    <dataValidation type="list" allowBlank="1" sqref="B15:F22 F6:F10" xr:uid="{00000000-0002-0000-0000-000001000000}">
      <formula1>$B$26:$B$55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30"/>
  <sheetViews>
    <sheetView showGridLines="0" zoomScale="68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P38" sqref="P38"/>
    </sheetView>
  </sheetViews>
  <sheetFormatPr baseColWidth="10" defaultColWidth="8.6640625" defaultRowHeight="15" x14ac:dyDescent="0.2"/>
  <cols>
    <col min="1" max="1" width="13" customWidth="1"/>
    <col min="2" max="2" width="52" customWidth="1"/>
    <col min="3" max="7" width="20" customWidth="1"/>
    <col min="8" max="8" width="12" customWidth="1"/>
  </cols>
  <sheetData>
    <row r="1" spans="1:8" ht="30" customHeight="1" x14ac:dyDescent="0.2">
      <c r="A1" s="55" t="s">
        <v>79</v>
      </c>
      <c r="B1" s="55"/>
      <c r="C1" s="55"/>
      <c r="D1" s="55"/>
      <c r="E1" s="55"/>
      <c r="F1" s="55"/>
      <c r="G1" s="55"/>
      <c r="H1" s="55"/>
    </row>
    <row r="2" spans="1:8" x14ac:dyDescent="0.2">
      <c r="A2" s="6"/>
      <c r="B2" s="6"/>
      <c r="C2" s="6"/>
      <c r="D2" s="6"/>
      <c r="E2" s="6"/>
      <c r="F2" s="6"/>
      <c r="G2" s="6"/>
      <c r="H2" s="6"/>
    </row>
    <row r="3" spans="1:8" x14ac:dyDescent="0.2">
      <c r="A3" s="4"/>
      <c r="B3" s="4"/>
      <c r="C3" s="4"/>
      <c r="D3" s="4"/>
      <c r="E3" s="4"/>
      <c r="F3" s="4"/>
      <c r="G3" s="4"/>
      <c r="H3" s="4"/>
    </row>
    <row r="4" spans="1:8" ht="33.75" customHeight="1" x14ac:dyDescent="0.2">
      <c r="A4" s="9" t="s">
        <v>80</v>
      </c>
      <c r="B4" s="9" t="s">
        <v>81</v>
      </c>
      <c r="C4" s="30" t="str">
        <f>Paramètres!$B$6&amp;IF(Paramètres!$F$6="","",CHAR(10)&amp;"Chef : "&amp;Paramètres!$F$6)</f>
        <v>Équipe 1
Chef : Célie</v>
      </c>
      <c r="D4" s="30" t="str">
        <f>Paramètres!$B$7&amp;IF(Paramètres!$F$7="","",CHAR(10)&amp;"Chef : "&amp;Paramètres!$F$7)</f>
        <v>Équipe 2
Chef : Léna</v>
      </c>
      <c r="E4" s="30" t="str">
        <f>Paramètres!$B$8&amp;IF(Paramètres!$F$8="","",CHAR(10)&amp;"Chef : "&amp;Paramètres!$F$8)</f>
        <v>Équipe 3
Chef : Maryline</v>
      </c>
      <c r="F4" s="30" t="str">
        <f>Paramètres!$B$9&amp;IF(Paramètres!$F$9="","",CHAR(10)&amp;"Chef : "&amp;Paramètres!$F$9)</f>
        <v>Équipe 4
Chef : Marthe</v>
      </c>
      <c r="G4" s="30" t="str">
        <f>Paramètres!$B$10&amp;IF(Paramètres!$F$10="","",CHAR(10)&amp;"Chef : "&amp;Paramètres!$F$10)</f>
        <v>Équipe 5
Chef : Nathan</v>
      </c>
      <c r="H4" s="31" t="s">
        <v>82</v>
      </c>
    </row>
    <row r="5" spans="1:8" ht="30" customHeight="1" x14ac:dyDescent="0.2">
      <c r="A5" s="32" t="s">
        <v>11</v>
      </c>
      <c r="B5" s="33"/>
      <c r="C5" s="34"/>
      <c r="D5" s="34"/>
      <c r="E5" s="34"/>
      <c r="F5" s="34"/>
      <c r="G5" s="34"/>
      <c r="H5" s="35" t="str">
        <f t="shared" ref="H5:H28" si="0">IF(COUNTA(C5:G5)=0,"—",COUNTA(C5:G5)-COUNTIF(C5:G5,"REPOS"))</f>
        <v>—</v>
      </c>
    </row>
    <row r="6" spans="1:8" ht="30" customHeight="1" x14ac:dyDescent="0.2">
      <c r="A6" s="32" t="s">
        <v>14</v>
      </c>
      <c r="B6" s="33" t="s">
        <v>131</v>
      </c>
      <c r="C6" s="34" t="s">
        <v>30</v>
      </c>
      <c r="D6" s="34" t="s">
        <v>30</v>
      </c>
      <c r="E6" s="34" t="s">
        <v>30</v>
      </c>
      <c r="F6" s="34" t="s">
        <v>30</v>
      </c>
      <c r="G6" s="34" t="s">
        <v>30</v>
      </c>
      <c r="H6" s="35">
        <f t="shared" si="0"/>
        <v>5</v>
      </c>
    </row>
    <row r="7" spans="1:8" ht="30" customHeight="1" x14ac:dyDescent="0.2">
      <c r="A7" s="36" t="s">
        <v>17</v>
      </c>
      <c r="B7" s="33" t="s">
        <v>83</v>
      </c>
      <c r="C7" s="50" t="s">
        <v>28</v>
      </c>
      <c r="D7" s="34" t="s">
        <v>28</v>
      </c>
      <c r="E7" s="34" t="s">
        <v>28</v>
      </c>
      <c r="F7" s="34" t="s">
        <v>28</v>
      </c>
      <c r="G7" s="34" t="s">
        <v>28</v>
      </c>
      <c r="H7" s="35">
        <f t="shared" si="0"/>
        <v>5</v>
      </c>
    </row>
    <row r="8" spans="1:8" ht="30" customHeight="1" x14ac:dyDescent="0.2">
      <c r="A8" s="36" t="s">
        <v>20</v>
      </c>
      <c r="B8" s="33" t="s">
        <v>84</v>
      </c>
      <c r="C8" s="34" t="s">
        <v>28</v>
      </c>
      <c r="D8" s="34" t="s">
        <v>28</v>
      </c>
      <c r="E8" s="34" t="s">
        <v>28</v>
      </c>
      <c r="F8" s="34" t="s">
        <v>28</v>
      </c>
      <c r="G8" s="34" t="s">
        <v>28</v>
      </c>
      <c r="H8" s="35">
        <f t="shared" si="0"/>
        <v>5</v>
      </c>
    </row>
    <row r="9" spans="1:8" ht="30" customHeight="1" x14ac:dyDescent="0.2">
      <c r="A9" s="36" t="s">
        <v>23</v>
      </c>
      <c r="B9" s="33" t="s">
        <v>85</v>
      </c>
      <c r="C9" s="57" t="s">
        <v>132</v>
      </c>
      <c r="D9" s="57" t="s">
        <v>132</v>
      </c>
      <c r="E9" s="57" t="s">
        <v>132</v>
      </c>
      <c r="F9" s="57" t="s">
        <v>132</v>
      </c>
      <c r="G9" s="57" t="s">
        <v>132</v>
      </c>
      <c r="H9" s="35">
        <f t="shared" si="0"/>
        <v>5</v>
      </c>
    </row>
    <row r="10" spans="1:8" ht="30" customHeight="1" x14ac:dyDescent="0.2">
      <c r="A10" s="36" t="s">
        <v>25</v>
      </c>
      <c r="B10" s="33" t="s">
        <v>86</v>
      </c>
      <c r="C10" s="54" t="s">
        <v>133</v>
      </c>
      <c r="D10" s="58" t="s">
        <v>133</v>
      </c>
      <c r="E10" s="56" t="s">
        <v>134</v>
      </c>
      <c r="F10" s="34" t="s">
        <v>10</v>
      </c>
      <c r="G10" s="34" t="s">
        <v>10</v>
      </c>
      <c r="H10" s="35">
        <f t="shared" si="0"/>
        <v>5</v>
      </c>
    </row>
    <row r="11" spans="1:8" ht="30" customHeight="1" x14ac:dyDescent="0.2">
      <c r="A11" s="36" t="s">
        <v>27</v>
      </c>
      <c r="B11" s="33" t="s">
        <v>87</v>
      </c>
      <c r="C11" s="50" t="s">
        <v>13</v>
      </c>
      <c r="D11" s="34" t="s">
        <v>13</v>
      </c>
      <c r="E11" s="34" t="s">
        <v>10</v>
      </c>
      <c r="F11" s="34" t="s">
        <v>10</v>
      </c>
      <c r="G11" s="34" t="s">
        <v>10</v>
      </c>
      <c r="H11" s="35">
        <f t="shared" si="0"/>
        <v>5</v>
      </c>
    </row>
    <row r="12" spans="1:8" ht="30" customHeight="1" x14ac:dyDescent="0.2">
      <c r="A12" s="36" t="s">
        <v>29</v>
      </c>
      <c r="B12" s="33" t="s">
        <v>88</v>
      </c>
      <c r="C12" s="34" t="s">
        <v>13</v>
      </c>
      <c r="D12" s="34" t="s">
        <v>13</v>
      </c>
      <c r="E12" s="60" t="s">
        <v>135</v>
      </c>
      <c r="F12" s="56" t="s">
        <v>136</v>
      </c>
      <c r="G12" s="34" t="s">
        <v>26</v>
      </c>
      <c r="H12" s="35">
        <f t="shared" si="0"/>
        <v>5</v>
      </c>
    </row>
    <row r="13" spans="1:8" ht="30" customHeight="1" x14ac:dyDescent="0.2">
      <c r="A13" s="36" t="s">
        <v>31</v>
      </c>
      <c r="B13" s="33" t="s">
        <v>89</v>
      </c>
      <c r="C13" s="34" t="s">
        <v>30</v>
      </c>
      <c r="D13" s="34" t="s">
        <v>30</v>
      </c>
      <c r="E13" s="60" t="s">
        <v>135</v>
      </c>
      <c r="F13" s="60" t="s">
        <v>135</v>
      </c>
      <c r="G13" s="34" t="s">
        <v>26</v>
      </c>
      <c r="H13" s="35">
        <f t="shared" si="0"/>
        <v>5</v>
      </c>
    </row>
    <row r="14" spans="1:8" ht="30" customHeight="1" x14ac:dyDescent="0.2">
      <c r="A14" s="36" t="s">
        <v>38</v>
      </c>
      <c r="B14" s="33" t="s">
        <v>89</v>
      </c>
      <c r="C14" s="34" t="s">
        <v>26</v>
      </c>
      <c r="D14" s="34" t="s">
        <v>13</v>
      </c>
      <c r="E14" s="34" t="s">
        <v>26</v>
      </c>
      <c r="F14" s="60" t="s">
        <v>135</v>
      </c>
      <c r="G14" s="60" t="s">
        <v>135</v>
      </c>
      <c r="H14" s="35">
        <f t="shared" si="0"/>
        <v>5</v>
      </c>
    </row>
    <row r="15" spans="1:8" ht="30" customHeight="1" x14ac:dyDescent="0.2">
      <c r="A15" s="36" t="s">
        <v>44</v>
      </c>
      <c r="B15" s="33" t="s">
        <v>89</v>
      </c>
      <c r="C15" s="34" t="s">
        <v>19</v>
      </c>
      <c r="D15" s="34" t="s">
        <v>19</v>
      </c>
      <c r="E15" s="34" t="s">
        <v>26</v>
      </c>
      <c r="F15" s="60" t="s">
        <v>135</v>
      </c>
      <c r="G15" s="60" t="s">
        <v>135</v>
      </c>
      <c r="H15" s="35">
        <f t="shared" si="0"/>
        <v>5</v>
      </c>
    </row>
    <row r="16" spans="1:8" ht="30" customHeight="1" x14ac:dyDescent="0.2">
      <c r="A16" s="36" t="s">
        <v>50</v>
      </c>
      <c r="B16" s="33" t="s">
        <v>90</v>
      </c>
      <c r="C16" s="34" t="s">
        <v>19</v>
      </c>
      <c r="D16" s="34" t="s">
        <v>19</v>
      </c>
      <c r="E16" s="60" t="s">
        <v>135</v>
      </c>
      <c r="F16" s="34" t="s">
        <v>26</v>
      </c>
      <c r="G16" s="60" t="s">
        <v>135</v>
      </c>
      <c r="H16" s="35">
        <f t="shared" si="0"/>
        <v>5</v>
      </c>
    </row>
    <row r="17" spans="1:8" ht="30" customHeight="1" x14ac:dyDescent="0.2">
      <c r="A17" s="36" t="s">
        <v>55</v>
      </c>
      <c r="B17" s="33" t="s">
        <v>91</v>
      </c>
      <c r="C17" s="34" t="s">
        <v>37</v>
      </c>
      <c r="D17" s="34" t="s">
        <v>16</v>
      </c>
      <c r="E17" s="54" t="s">
        <v>133</v>
      </c>
      <c r="F17" s="54" t="s">
        <v>133</v>
      </c>
      <c r="G17" s="54" t="s">
        <v>133</v>
      </c>
      <c r="H17" s="35">
        <f t="shared" si="0"/>
        <v>4</v>
      </c>
    </row>
    <row r="18" spans="1:8" ht="30" customHeight="1" x14ac:dyDescent="0.2">
      <c r="A18" s="36" t="s">
        <v>60</v>
      </c>
      <c r="B18" s="33" t="s">
        <v>92</v>
      </c>
      <c r="C18" s="34" t="s">
        <v>16</v>
      </c>
      <c r="D18" s="34" t="s">
        <v>37</v>
      </c>
      <c r="E18" s="34" t="s">
        <v>13</v>
      </c>
      <c r="F18" s="34" t="s">
        <v>10</v>
      </c>
      <c r="G18" s="34" t="s">
        <v>24</v>
      </c>
      <c r="H18" s="35">
        <f t="shared" si="0"/>
        <v>4</v>
      </c>
    </row>
    <row r="19" spans="1:8" ht="30" customHeight="1" x14ac:dyDescent="0.2">
      <c r="A19" s="36" t="s">
        <v>61</v>
      </c>
      <c r="B19" s="33" t="s">
        <v>93</v>
      </c>
      <c r="C19" s="34" t="s">
        <v>10</v>
      </c>
      <c r="D19" s="34" t="s">
        <v>13</v>
      </c>
      <c r="E19" s="34" t="s">
        <v>22</v>
      </c>
      <c r="F19" s="34" t="s">
        <v>37</v>
      </c>
      <c r="G19" s="34" t="s">
        <v>16</v>
      </c>
      <c r="H19" s="35">
        <f t="shared" si="0"/>
        <v>4</v>
      </c>
    </row>
    <row r="20" spans="1:8" ht="30" customHeight="1" x14ac:dyDescent="0.2">
      <c r="A20" s="36" t="s">
        <v>62</v>
      </c>
      <c r="B20" s="33" t="s">
        <v>94</v>
      </c>
      <c r="C20" s="34" t="s">
        <v>10</v>
      </c>
      <c r="D20" s="34" t="s">
        <v>13</v>
      </c>
      <c r="E20" s="34" t="s">
        <v>22</v>
      </c>
      <c r="F20" s="34" t="s">
        <v>37</v>
      </c>
      <c r="G20" s="34" t="s">
        <v>16</v>
      </c>
      <c r="H20" s="35">
        <f t="shared" si="0"/>
        <v>4</v>
      </c>
    </row>
    <row r="21" spans="1:8" ht="30" customHeight="1" x14ac:dyDescent="0.2">
      <c r="A21" s="36" t="s">
        <v>63</v>
      </c>
      <c r="B21" s="33"/>
      <c r="C21" s="34" t="s">
        <v>13</v>
      </c>
      <c r="D21" s="34" t="s">
        <v>10</v>
      </c>
      <c r="E21" s="34" t="s">
        <v>22</v>
      </c>
      <c r="F21" s="34" t="s">
        <v>10</v>
      </c>
      <c r="G21" s="34" t="s">
        <v>37</v>
      </c>
      <c r="H21" s="35">
        <f t="shared" si="0"/>
        <v>4</v>
      </c>
    </row>
    <row r="22" spans="1:8" ht="30" customHeight="1" x14ac:dyDescent="0.2">
      <c r="A22" s="36" t="s">
        <v>64</v>
      </c>
      <c r="B22" s="33" t="s">
        <v>139</v>
      </c>
      <c r="C22" s="63" t="s">
        <v>140</v>
      </c>
      <c r="D22" s="63" t="s">
        <v>140</v>
      </c>
      <c r="E22" s="63" t="s">
        <v>140</v>
      </c>
      <c r="F22" s="63" t="s">
        <v>140</v>
      </c>
      <c r="G22" s="63" t="s">
        <v>140</v>
      </c>
      <c r="H22" s="35">
        <f t="shared" si="0"/>
        <v>5</v>
      </c>
    </row>
    <row r="23" spans="1:8" ht="30" customHeight="1" x14ac:dyDescent="0.2">
      <c r="A23" s="36" t="s">
        <v>66</v>
      </c>
      <c r="B23" s="33" t="s">
        <v>95</v>
      </c>
      <c r="C23" s="62" t="s">
        <v>137</v>
      </c>
      <c r="D23" s="62" t="s">
        <v>137</v>
      </c>
      <c r="E23" s="62" t="s">
        <v>137</v>
      </c>
      <c r="F23" s="62" t="s">
        <v>137</v>
      </c>
      <c r="G23" s="62" t="s">
        <v>137</v>
      </c>
      <c r="H23" s="35">
        <f t="shared" si="0"/>
        <v>5</v>
      </c>
    </row>
    <row r="24" spans="1:8" ht="30" customHeight="1" x14ac:dyDescent="0.2">
      <c r="A24" s="32" t="s">
        <v>72</v>
      </c>
      <c r="B24" s="33" t="s">
        <v>96</v>
      </c>
      <c r="C24" s="62" t="s">
        <v>137</v>
      </c>
      <c r="D24" s="62" t="s">
        <v>137</v>
      </c>
      <c r="E24" s="62" t="s">
        <v>137</v>
      </c>
      <c r="F24" s="62" t="s">
        <v>137</v>
      </c>
      <c r="G24" s="62" t="s">
        <v>137</v>
      </c>
      <c r="H24" s="35">
        <f t="shared" si="0"/>
        <v>5</v>
      </c>
    </row>
    <row r="25" spans="1:8" ht="30" customHeight="1" x14ac:dyDescent="0.2">
      <c r="A25" s="32" t="s">
        <v>74</v>
      </c>
      <c r="B25" s="33"/>
      <c r="C25" s="62" t="s">
        <v>137</v>
      </c>
      <c r="D25" s="62" t="s">
        <v>137</v>
      </c>
      <c r="E25" s="62" t="s">
        <v>137</v>
      </c>
      <c r="F25" s="62" t="s">
        <v>137</v>
      </c>
      <c r="G25" s="62" t="s">
        <v>137</v>
      </c>
      <c r="H25" s="35">
        <f t="shared" si="0"/>
        <v>5</v>
      </c>
    </row>
    <row r="26" spans="1:8" ht="30" customHeight="1" x14ac:dyDescent="0.2">
      <c r="A26" s="32" t="s">
        <v>75</v>
      </c>
      <c r="B26" s="33"/>
      <c r="C26" s="62" t="s">
        <v>137</v>
      </c>
      <c r="D26" s="62" t="s">
        <v>137</v>
      </c>
      <c r="E26" s="62" t="s">
        <v>137</v>
      </c>
      <c r="F26" s="62" t="s">
        <v>137</v>
      </c>
      <c r="G26" s="62" t="s">
        <v>137</v>
      </c>
      <c r="H26" s="35">
        <f t="shared" si="0"/>
        <v>5</v>
      </c>
    </row>
    <row r="27" spans="1:8" ht="30" customHeight="1" x14ac:dyDescent="0.2">
      <c r="A27" s="32" t="s">
        <v>76</v>
      </c>
      <c r="B27" s="33"/>
      <c r="C27" s="34" t="s">
        <v>37</v>
      </c>
      <c r="D27" s="62" t="s">
        <v>137</v>
      </c>
      <c r="E27" s="62" t="s">
        <v>137</v>
      </c>
      <c r="F27" s="62" t="s">
        <v>137</v>
      </c>
      <c r="G27" s="34" t="s">
        <v>37</v>
      </c>
      <c r="H27" s="35">
        <f t="shared" si="0"/>
        <v>3</v>
      </c>
    </row>
    <row r="28" spans="1:8" ht="30" customHeight="1" x14ac:dyDescent="0.2">
      <c r="A28" s="32" t="s">
        <v>78</v>
      </c>
      <c r="B28" s="33" t="s">
        <v>97</v>
      </c>
      <c r="C28" s="34" t="s">
        <v>37</v>
      </c>
      <c r="D28" s="34" t="s">
        <v>37</v>
      </c>
      <c r="E28" s="34" t="s">
        <v>37</v>
      </c>
      <c r="F28" s="34" t="s">
        <v>37</v>
      </c>
      <c r="G28" s="34" t="s">
        <v>37</v>
      </c>
      <c r="H28" s="35">
        <f t="shared" si="0"/>
        <v>0</v>
      </c>
    </row>
    <row r="30" spans="1:8" x14ac:dyDescent="0.2">
      <c r="A30" s="3" t="s">
        <v>98</v>
      </c>
      <c r="B30" s="3"/>
      <c r="C30" s="37">
        <f>COUNTA(C5:C28)-COUNTIF(C5:C28,"REPOS")</f>
        <v>20</v>
      </c>
      <c r="D30" s="37">
        <f>COUNTA(D5:D28)-COUNTIF(D5:D28,"REPOS")</f>
        <v>21</v>
      </c>
      <c r="E30" s="37">
        <f>COUNTA(E5:E28)-COUNTIF(E5:E28,"REPOS")</f>
        <v>22</v>
      </c>
      <c r="F30" s="37">
        <f>COUNTA(F5:F28)-COUNTIF(F5:F28,"REPOS")</f>
        <v>20</v>
      </c>
      <c r="G30" s="37">
        <f>COUNTA(G5:G28)-COUNTIF(G5:G28,"REPOS")</f>
        <v>20</v>
      </c>
    </row>
  </sheetData>
  <mergeCells count="4">
    <mergeCell ref="A1:H1"/>
    <mergeCell ref="A2:H2"/>
    <mergeCell ref="A3:H3"/>
    <mergeCell ref="A30:B30"/>
  </mergeCells>
  <conditionalFormatting sqref="C5:G28">
    <cfRule type="expression" dxfId="463" priority="2">
      <formula>EXACT(C5,"SÉCU")</formula>
    </cfRule>
    <cfRule type="expression" dxfId="462" priority="3">
      <formula>EXACT(C5,"PLAINE")</formula>
    </cfRule>
    <cfRule type="expression" dxfId="461" priority="4">
      <formula>EXACT(C5,"SURVEILLANCE ACTIVITÉ")</formula>
    </cfRule>
    <cfRule type="expression" dxfId="460" priority="5">
      <formula>EXACT(C5,"PRÉPA OB")</formula>
    </cfRule>
    <cfRule type="expression" dxfId="459" priority="6">
      <formula>EXACT(C5,"REPAS")</formula>
    </cfRule>
    <cfRule type="expression" dxfId="458" priority="7">
      <formula>EXACT(C5,"BUVETTE")</formula>
    </cfRule>
    <cfRule type="expression" dxfId="457" priority="8">
      <formula>EXACT(C5,"NAVETTES")</formula>
    </cfRule>
    <cfRule type="expression" dxfId="456" priority="9">
      <formula>EXACT(C5,"PRÉCHECK")</formula>
    </cfRule>
    <cfRule type="expression" dxfId="455" priority="10">
      <formula>EXACT(C5,"MONTAGE / RANGEMENT")</formula>
    </cfRule>
    <cfRule type="expression" dxfId="454" priority="11">
      <formula>EXACT(C5,"REPOS")</formula>
    </cfRule>
  </conditionalFormatting>
  <conditionalFormatting sqref="H5:H28">
    <cfRule type="expression" dxfId="453" priority="12">
      <formula>AND(ISNUMBER(H5),H5=0)</formula>
    </cfRule>
    <cfRule type="expression" dxfId="452" priority="13">
      <formula>ISNUMBER(H5)</formula>
    </cfRule>
  </conditionalFormatting>
  <pageMargins left="0.75" right="0.75" top="1" bottom="1" header="0.511811023622047" footer="0.511811023622047"/>
  <pageSetup fitToHeight="0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100-000000000000}">
          <x14:formula1>
            <xm:f>Paramètres!$G$6:$G$20</xm:f>
          </x14:formula1>
          <x14:formula2>
            <xm:f>0</xm:f>
          </x14:formula2>
          <xm:sqref>C5:G28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30"/>
  <sheetViews>
    <sheetView showGridLines="0" tabSelected="1" zoomScale="64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G26" sqref="G26"/>
    </sheetView>
  </sheetViews>
  <sheetFormatPr baseColWidth="10" defaultColWidth="8.6640625" defaultRowHeight="15" x14ac:dyDescent="0.2"/>
  <cols>
    <col min="1" max="1" width="13" customWidth="1"/>
    <col min="2" max="2" width="52" customWidth="1"/>
    <col min="3" max="7" width="20" customWidth="1"/>
    <col min="8" max="8" width="12" customWidth="1"/>
  </cols>
  <sheetData>
    <row r="1" spans="1:8" ht="30" customHeight="1" x14ac:dyDescent="0.2">
      <c r="A1" s="55" t="s">
        <v>99</v>
      </c>
      <c r="B1" s="55"/>
      <c r="C1" s="55"/>
      <c r="D1" s="55"/>
      <c r="E1" s="55"/>
      <c r="F1" s="55"/>
      <c r="G1" s="55"/>
      <c r="H1" s="55"/>
    </row>
    <row r="2" spans="1:8" x14ac:dyDescent="0.2">
      <c r="A2" s="6"/>
      <c r="B2" s="6"/>
      <c r="C2" s="6"/>
      <c r="D2" s="6"/>
      <c r="E2" s="6"/>
      <c r="F2" s="6"/>
      <c r="G2" s="6"/>
      <c r="H2" s="6"/>
    </row>
    <row r="3" spans="1:8" x14ac:dyDescent="0.2">
      <c r="A3" s="4"/>
      <c r="B3" s="4"/>
      <c r="C3" s="4"/>
      <c r="D3" s="4"/>
      <c r="E3" s="4"/>
      <c r="F3" s="4"/>
      <c r="G3" s="4"/>
      <c r="H3" s="4"/>
    </row>
    <row r="4" spans="1:8" ht="33.75" customHeight="1" x14ac:dyDescent="0.2">
      <c r="A4" s="9" t="s">
        <v>80</v>
      </c>
      <c r="B4" s="9" t="s">
        <v>81</v>
      </c>
      <c r="C4" s="30" t="str">
        <f>Paramètres!$B$6&amp;IF(Paramètres!$F$6="","",CHAR(10)&amp;"Chef : "&amp;Paramètres!$F$6)</f>
        <v>Équipe 1
Chef : Célie</v>
      </c>
      <c r="D4" s="30" t="str">
        <f>Paramètres!$B$7&amp;IF(Paramètres!$F$7="","",CHAR(10)&amp;"Chef : "&amp;Paramètres!$F$7)</f>
        <v>Équipe 2
Chef : Léna</v>
      </c>
      <c r="E4" s="30" t="str">
        <f>Paramètres!$B$8&amp;IF(Paramètres!$F$8="","",CHAR(10)&amp;"Chef : "&amp;Paramètres!$F$8)</f>
        <v>Équipe 3
Chef : Maryline</v>
      </c>
      <c r="F4" s="30" t="str">
        <f>Paramètres!$B$9&amp;IF(Paramètres!$F$9="","",CHAR(10)&amp;"Chef : "&amp;Paramètres!$F$9)</f>
        <v>Équipe 4
Chef : Marthe</v>
      </c>
      <c r="G4" s="30" t="str">
        <f>Paramètres!$B$10&amp;IF(Paramètres!$F$10="","",CHAR(10)&amp;"Chef : "&amp;Paramètres!$F$10)</f>
        <v>Équipe 5
Chef : Nathan</v>
      </c>
      <c r="H4" s="31" t="s">
        <v>82</v>
      </c>
    </row>
    <row r="5" spans="1:8" ht="30" customHeight="1" x14ac:dyDescent="0.2">
      <c r="A5" s="32" t="s">
        <v>11</v>
      </c>
      <c r="B5" s="33"/>
      <c r="C5" s="34" t="s">
        <v>37</v>
      </c>
      <c r="D5" s="34" t="s">
        <v>37</v>
      </c>
      <c r="E5" s="34" t="s">
        <v>37</v>
      </c>
      <c r="F5" s="34" t="s">
        <v>37</v>
      </c>
      <c r="G5" s="34" t="s">
        <v>37</v>
      </c>
      <c r="H5" s="35">
        <f t="shared" ref="H5:H28" si="0">IF(COUNTA(C5:G5)=0,"—",COUNTA(C5:G5)-COUNTIF(C5:G5,"REPOS"))</f>
        <v>0</v>
      </c>
    </row>
    <row r="6" spans="1:8" ht="30" customHeight="1" x14ac:dyDescent="0.2">
      <c r="A6" s="32" t="s">
        <v>14</v>
      </c>
      <c r="B6" s="33"/>
      <c r="C6" s="34" t="s">
        <v>37</v>
      </c>
      <c r="D6" s="34" t="s">
        <v>37</v>
      </c>
      <c r="E6" s="34" t="s">
        <v>37</v>
      </c>
      <c r="F6" s="34" t="s">
        <v>37</v>
      </c>
      <c r="G6" s="34" t="s">
        <v>10</v>
      </c>
      <c r="H6" s="35">
        <f t="shared" si="0"/>
        <v>1</v>
      </c>
    </row>
    <row r="7" spans="1:8" ht="30" customHeight="1" x14ac:dyDescent="0.2">
      <c r="A7" s="36" t="s">
        <v>17</v>
      </c>
      <c r="B7" s="33"/>
      <c r="C7" s="34" t="s">
        <v>10</v>
      </c>
      <c r="D7" s="34" t="s">
        <v>37</v>
      </c>
      <c r="E7" s="34" t="s">
        <v>37</v>
      </c>
      <c r="F7" s="34" t="s">
        <v>37</v>
      </c>
      <c r="G7" s="34" t="s">
        <v>37</v>
      </c>
      <c r="H7" s="35">
        <f t="shared" si="0"/>
        <v>1</v>
      </c>
    </row>
    <row r="8" spans="1:8" ht="30" customHeight="1" x14ac:dyDescent="0.2">
      <c r="A8" s="36" t="s">
        <v>20</v>
      </c>
      <c r="B8" s="33"/>
      <c r="C8" s="34" t="s">
        <v>37</v>
      </c>
      <c r="D8" s="34" t="s">
        <v>10</v>
      </c>
      <c r="E8" s="34" t="s">
        <v>37</v>
      </c>
      <c r="F8" s="34" t="s">
        <v>37</v>
      </c>
      <c r="G8" s="34" t="s">
        <v>37</v>
      </c>
      <c r="H8" s="35">
        <f t="shared" si="0"/>
        <v>1</v>
      </c>
    </row>
    <row r="9" spans="1:8" ht="30" customHeight="1" x14ac:dyDescent="0.2">
      <c r="A9" s="36" t="s">
        <v>23</v>
      </c>
      <c r="B9" s="33" t="s">
        <v>100</v>
      </c>
      <c r="C9" s="34" t="s">
        <v>37</v>
      </c>
      <c r="D9" s="34" t="s">
        <v>37</v>
      </c>
      <c r="E9" s="34" t="s">
        <v>10</v>
      </c>
      <c r="F9" s="56" t="s">
        <v>134</v>
      </c>
      <c r="G9" s="34" t="s">
        <v>37</v>
      </c>
      <c r="H9" s="35">
        <f t="shared" si="0"/>
        <v>2</v>
      </c>
    </row>
    <row r="10" spans="1:8" ht="30" customHeight="1" x14ac:dyDescent="0.2">
      <c r="A10" s="36" t="s">
        <v>25</v>
      </c>
      <c r="B10" s="33" t="s">
        <v>101</v>
      </c>
      <c r="C10" s="34" t="s">
        <v>37</v>
      </c>
      <c r="D10" s="34" t="s">
        <v>37</v>
      </c>
      <c r="E10" s="34" t="s">
        <v>37</v>
      </c>
      <c r="F10" s="56" t="s">
        <v>134</v>
      </c>
      <c r="G10" s="34" t="s">
        <v>10</v>
      </c>
      <c r="H10" s="35">
        <f t="shared" si="0"/>
        <v>2</v>
      </c>
    </row>
    <row r="11" spans="1:8" ht="30" customHeight="1" x14ac:dyDescent="0.2">
      <c r="A11" s="36" t="s">
        <v>27</v>
      </c>
      <c r="B11" s="33" t="s">
        <v>101</v>
      </c>
      <c r="C11" s="34" t="s">
        <v>37</v>
      </c>
      <c r="D11" s="34" t="s">
        <v>37</v>
      </c>
      <c r="E11" s="56" t="s">
        <v>138</v>
      </c>
      <c r="F11" s="56" t="s">
        <v>134</v>
      </c>
      <c r="G11" s="34" t="s">
        <v>22</v>
      </c>
      <c r="H11" s="35">
        <f t="shared" si="0"/>
        <v>3</v>
      </c>
    </row>
    <row r="12" spans="1:8" ht="30" customHeight="1" x14ac:dyDescent="0.2">
      <c r="A12" s="36" t="s">
        <v>29</v>
      </c>
      <c r="B12" s="33" t="s">
        <v>102</v>
      </c>
      <c r="C12" s="34" t="s">
        <v>16</v>
      </c>
      <c r="D12" s="34" t="s">
        <v>37</v>
      </c>
      <c r="E12" s="34" t="s">
        <v>16</v>
      </c>
      <c r="F12" s="34" t="s">
        <v>10</v>
      </c>
      <c r="G12" s="34" t="s">
        <v>22</v>
      </c>
      <c r="H12" s="35">
        <f t="shared" si="0"/>
        <v>4</v>
      </c>
    </row>
    <row r="13" spans="1:8" ht="30" customHeight="1" x14ac:dyDescent="0.2">
      <c r="A13" s="36" t="s">
        <v>31</v>
      </c>
      <c r="B13" s="33" t="s">
        <v>103</v>
      </c>
      <c r="C13" s="34" t="s">
        <v>22</v>
      </c>
      <c r="D13" s="34" t="s">
        <v>10</v>
      </c>
      <c r="E13" s="34" t="s">
        <v>16</v>
      </c>
      <c r="F13" s="34" t="s">
        <v>37</v>
      </c>
      <c r="G13" s="34" t="s">
        <v>22</v>
      </c>
      <c r="H13" s="35">
        <f t="shared" si="0"/>
        <v>4</v>
      </c>
    </row>
    <row r="14" spans="1:8" ht="30" customHeight="1" x14ac:dyDescent="0.2">
      <c r="A14" s="36" t="s">
        <v>38</v>
      </c>
      <c r="B14" s="33" t="s">
        <v>104</v>
      </c>
      <c r="C14" s="34" t="s">
        <v>22</v>
      </c>
      <c r="D14" s="34" t="s">
        <v>10</v>
      </c>
      <c r="E14" s="34" t="s">
        <v>16</v>
      </c>
      <c r="F14" s="34" t="s">
        <v>37</v>
      </c>
      <c r="G14" s="34" t="s">
        <v>22</v>
      </c>
      <c r="H14" s="35">
        <f t="shared" si="0"/>
        <v>4</v>
      </c>
    </row>
    <row r="15" spans="1:8" ht="30" customHeight="1" x14ac:dyDescent="0.2">
      <c r="A15" s="36" t="s">
        <v>44</v>
      </c>
      <c r="B15" s="33" t="s">
        <v>105</v>
      </c>
      <c r="C15" s="34" t="s">
        <v>19</v>
      </c>
      <c r="D15" s="34" t="s">
        <v>13</v>
      </c>
      <c r="E15" s="34" t="s">
        <v>16</v>
      </c>
      <c r="F15" s="34" t="s">
        <v>37</v>
      </c>
      <c r="G15" s="34" t="s">
        <v>19</v>
      </c>
      <c r="H15" s="35">
        <f t="shared" si="0"/>
        <v>4</v>
      </c>
    </row>
    <row r="16" spans="1:8" ht="30" customHeight="1" x14ac:dyDescent="0.2">
      <c r="A16" s="36" t="s">
        <v>50</v>
      </c>
      <c r="B16" s="33" t="s">
        <v>106</v>
      </c>
      <c r="C16" s="34" t="s">
        <v>19</v>
      </c>
      <c r="D16" s="34" t="s">
        <v>13</v>
      </c>
      <c r="E16" s="34" t="s">
        <v>10</v>
      </c>
      <c r="F16" s="34" t="s">
        <v>16</v>
      </c>
      <c r="G16" s="34" t="s">
        <v>19</v>
      </c>
      <c r="H16" s="35">
        <f t="shared" si="0"/>
        <v>5</v>
      </c>
    </row>
    <row r="17" spans="1:8" ht="30" customHeight="1" x14ac:dyDescent="0.2">
      <c r="A17" s="36" t="s">
        <v>55</v>
      </c>
      <c r="B17" s="33" t="s">
        <v>107</v>
      </c>
      <c r="C17" s="34" t="s">
        <v>16</v>
      </c>
      <c r="D17" s="34" t="s">
        <v>16</v>
      </c>
      <c r="E17" s="34" t="s">
        <v>16</v>
      </c>
      <c r="F17" s="34" t="s">
        <v>16</v>
      </c>
      <c r="G17" s="34" t="s">
        <v>16</v>
      </c>
      <c r="H17" s="35">
        <f t="shared" si="0"/>
        <v>5</v>
      </c>
    </row>
    <row r="18" spans="1:8" ht="30" customHeight="1" x14ac:dyDescent="0.2">
      <c r="A18" s="36" t="s">
        <v>60</v>
      </c>
      <c r="B18" s="33" t="s">
        <v>108</v>
      </c>
      <c r="C18" s="34" t="s">
        <v>16</v>
      </c>
      <c r="D18" s="34" t="s">
        <v>16</v>
      </c>
      <c r="E18" s="34" t="s">
        <v>16</v>
      </c>
      <c r="F18" s="34" t="s">
        <v>16</v>
      </c>
      <c r="G18" s="34" t="s">
        <v>16</v>
      </c>
      <c r="H18" s="35">
        <f t="shared" si="0"/>
        <v>5</v>
      </c>
    </row>
    <row r="19" spans="1:8" ht="30" customHeight="1" x14ac:dyDescent="0.2">
      <c r="A19" s="36" t="s">
        <v>61</v>
      </c>
      <c r="B19" s="33" t="s">
        <v>93</v>
      </c>
      <c r="C19" s="34" t="s">
        <v>16</v>
      </c>
      <c r="D19" s="64" t="s">
        <v>141</v>
      </c>
      <c r="E19" s="34" t="s">
        <v>10</v>
      </c>
      <c r="F19" s="34" t="s">
        <v>22</v>
      </c>
      <c r="G19" s="34" t="s">
        <v>37</v>
      </c>
      <c r="H19" s="35">
        <f t="shared" si="0"/>
        <v>4</v>
      </c>
    </row>
    <row r="20" spans="1:8" ht="30" customHeight="1" x14ac:dyDescent="0.2">
      <c r="A20" s="36" t="s">
        <v>62</v>
      </c>
      <c r="B20" s="33" t="s">
        <v>109</v>
      </c>
      <c r="C20" s="34" t="s">
        <v>37</v>
      </c>
      <c r="D20" s="64" t="s">
        <v>141</v>
      </c>
      <c r="E20" s="34" t="s">
        <v>16</v>
      </c>
      <c r="F20" s="34" t="s">
        <v>22</v>
      </c>
      <c r="G20" s="34" t="s">
        <v>37</v>
      </c>
      <c r="H20" s="35">
        <f t="shared" si="0"/>
        <v>3</v>
      </c>
    </row>
    <row r="21" spans="1:8" ht="30" customHeight="1" x14ac:dyDescent="0.2">
      <c r="A21" s="36" t="s">
        <v>63</v>
      </c>
      <c r="B21" s="33" t="s">
        <v>110</v>
      </c>
      <c r="C21" s="34" t="s">
        <v>37</v>
      </c>
      <c r="D21" s="34" t="s">
        <v>37</v>
      </c>
      <c r="E21" s="64" t="s">
        <v>141</v>
      </c>
      <c r="F21" s="34" t="s">
        <v>22</v>
      </c>
      <c r="G21" s="34" t="s">
        <v>10</v>
      </c>
      <c r="H21" s="35">
        <f t="shared" si="0"/>
        <v>3</v>
      </c>
    </row>
    <row r="22" spans="1:8" ht="30" customHeight="1" x14ac:dyDescent="0.2">
      <c r="A22" s="36" t="s">
        <v>64</v>
      </c>
      <c r="B22" s="33" t="s">
        <v>111</v>
      </c>
      <c r="C22" s="63" t="s">
        <v>140</v>
      </c>
      <c r="D22" s="63" t="s">
        <v>140</v>
      </c>
      <c r="E22" s="63" t="s">
        <v>140</v>
      </c>
      <c r="F22" s="63" t="s">
        <v>140</v>
      </c>
      <c r="G22" s="63" t="s">
        <v>140</v>
      </c>
      <c r="H22" s="35">
        <f t="shared" si="0"/>
        <v>5</v>
      </c>
    </row>
    <row r="23" spans="1:8" ht="30" customHeight="1" x14ac:dyDescent="0.2">
      <c r="A23" s="36" t="s">
        <v>66</v>
      </c>
      <c r="B23" s="33" t="s">
        <v>112</v>
      </c>
      <c r="C23" s="63" t="s">
        <v>140</v>
      </c>
      <c r="D23" s="63" t="s">
        <v>140</v>
      </c>
      <c r="E23" s="63" t="s">
        <v>140</v>
      </c>
      <c r="F23" s="63" t="s">
        <v>140</v>
      </c>
      <c r="G23" s="63" t="s">
        <v>140</v>
      </c>
      <c r="H23" s="35">
        <f t="shared" si="0"/>
        <v>5</v>
      </c>
    </row>
    <row r="24" spans="1:8" ht="30" customHeight="1" x14ac:dyDescent="0.2">
      <c r="A24" s="32" t="s">
        <v>72</v>
      </c>
      <c r="B24" s="33" t="s">
        <v>113</v>
      </c>
      <c r="C24" s="62" t="s">
        <v>142</v>
      </c>
      <c r="D24" s="62" t="s">
        <v>142</v>
      </c>
      <c r="E24" s="62" t="s">
        <v>142</v>
      </c>
      <c r="F24" s="62" t="s">
        <v>142</v>
      </c>
      <c r="G24" s="62" t="s">
        <v>142</v>
      </c>
      <c r="H24" s="35">
        <f t="shared" si="0"/>
        <v>5</v>
      </c>
    </row>
    <row r="25" spans="1:8" ht="30" customHeight="1" x14ac:dyDescent="0.2">
      <c r="A25" s="32" t="s">
        <v>74</v>
      </c>
      <c r="B25" s="33" t="s">
        <v>114</v>
      </c>
      <c r="C25" s="62" t="s">
        <v>142</v>
      </c>
      <c r="D25" s="62" t="s">
        <v>142</v>
      </c>
      <c r="E25" s="62" t="s">
        <v>142</v>
      </c>
      <c r="F25" s="62" t="s">
        <v>142</v>
      </c>
      <c r="G25" s="62" t="s">
        <v>142</v>
      </c>
      <c r="H25" s="35">
        <f t="shared" si="0"/>
        <v>5</v>
      </c>
    </row>
    <row r="26" spans="1:8" ht="30" customHeight="1" x14ac:dyDescent="0.2">
      <c r="A26" s="32" t="s">
        <v>75</v>
      </c>
      <c r="B26" s="33" t="s">
        <v>114</v>
      </c>
      <c r="C26" s="62" t="s">
        <v>142</v>
      </c>
      <c r="D26" s="62" t="s">
        <v>142</v>
      </c>
      <c r="E26" s="62" t="s">
        <v>142</v>
      </c>
      <c r="F26" s="62" t="s">
        <v>142</v>
      </c>
      <c r="G26" s="62" t="s">
        <v>142</v>
      </c>
      <c r="H26" s="35">
        <f t="shared" si="0"/>
        <v>5</v>
      </c>
    </row>
    <row r="27" spans="1:8" ht="30" customHeight="1" x14ac:dyDescent="0.2">
      <c r="A27" s="32" t="s">
        <v>76</v>
      </c>
      <c r="B27" s="33"/>
      <c r="C27" s="62" t="s">
        <v>142</v>
      </c>
      <c r="D27" s="62" t="s">
        <v>142</v>
      </c>
      <c r="E27" s="62" t="s">
        <v>142</v>
      </c>
      <c r="F27" s="62" t="s">
        <v>142</v>
      </c>
      <c r="G27" s="62" t="s">
        <v>142</v>
      </c>
      <c r="H27" s="35">
        <f t="shared" si="0"/>
        <v>5</v>
      </c>
    </row>
    <row r="28" spans="1:8" ht="30" customHeight="1" x14ac:dyDescent="0.2">
      <c r="A28" s="32" t="s">
        <v>78</v>
      </c>
      <c r="B28" s="33" t="s">
        <v>115</v>
      </c>
      <c r="C28" s="64" t="s">
        <v>143</v>
      </c>
      <c r="D28" s="64" t="s">
        <v>143</v>
      </c>
      <c r="E28" s="64" t="s">
        <v>143</v>
      </c>
      <c r="F28" s="64" t="s">
        <v>143</v>
      </c>
      <c r="G28" s="64" t="s">
        <v>143</v>
      </c>
      <c r="H28" s="35">
        <f t="shared" si="0"/>
        <v>5</v>
      </c>
    </row>
    <row r="30" spans="1:8" x14ac:dyDescent="0.2">
      <c r="A30" s="3" t="s">
        <v>98</v>
      </c>
      <c r="B30" s="3"/>
      <c r="C30" s="37">
        <f>COUNTA(C5:C28)-COUNTIF(C5:C28,"REPOS")</f>
        <v>16</v>
      </c>
      <c r="D30" s="37">
        <f>COUNTA(D5:D28)-COUNTIF(D5:D28,"REPOS")</f>
        <v>16</v>
      </c>
      <c r="E30" s="37">
        <f>COUNTA(E5:E28)-COUNTIF(E5:E28,"REPOS")</f>
        <v>19</v>
      </c>
      <c r="F30" s="37">
        <f>COUNTA(F5:F28)-COUNTIF(F5:F28,"REPOS")</f>
        <v>17</v>
      </c>
      <c r="G30" s="37">
        <f>COUNTA(G5:G28)-COUNTIF(G5:G28,"REPOS")</f>
        <v>18</v>
      </c>
    </row>
  </sheetData>
  <mergeCells count="4">
    <mergeCell ref="A1:H1"/>
    <mergeCell ref="A2:H2"/>
    <mergeCell ref="A3:H3"/>
    <mergeCell ref="A30:B30"/>
  </mergeCells>
  <conditionalFormatting sqref="C5:G8 C9:E10 G9:G11 C11:D11 C12:G21">
    <cfRule type="expression" dxfId="409" priority="392">
      <formula>EXACT(C5,"SÉCU")</formula>
    </cfRule>
    <cfRule type="expression" dxfId="408" priority="393">
      <formula>EXACT(C5,"PLAINE")</formula>
    </cfRule>
    <cfRule type="expression" dxfId="407" priority="394">
      <formula>EXACT(C5,"SURVEILLANCE ACTIVITÉ")</formula>
    </cfRule>
    <cfRule type="expression" dxfId="406" priority="395">
      <formula>EXACT(C5,"PRÉPA OB")</formula>
    </cfRule>
    <cfRule type="expression" dxfId="405" priority="396">
      <formula>EXACT(C5,"REPAS")</formula>
    </cfRule>
    <cfRule type="expression" dxfId="404" priority="397">
      <formula>EXACT(C5,"BUVETTE")</formula>
    </cfRule>
    <cfRule type="expression" dxfId="403" priority="398">
      <formula>EXACT(C5,"NAVETTES")</formula>
    </cfRule>
    <cfRule type="expression" dxfId="402" priority="399">
      <formula>EXACT(C5,"PRÉCHECK")</formula>
    </cfRule>
    <cfRule type="expression" dxfId="401" priority="400">
      <formula>EXACT(C5,"MONTAGE / RANGEMENT")</formula>
    </cfRule>
    <cfRule type="expression" dxfId="400" priority="401">
      <formula>EXACT(C5,"REPOS")</formula>
    </cfRule>
  </conditionalFormatting>
  <conditionalFormatting sqref="H5:H28">
    <cfRule type="expression" dxfId="451" priority="402">
      <formula>AND(ISNUMBER(H5),H5=0)</formula>
    </cfRule>
    <cfRule type="expression" dxfId="450" priority="403">
      <formula>ISNUMBER(H5)</formula>
    </cfRule>
  </conditionalFormatting>
  <conditionalFormatting sqref="F9">
    <cfRule type="expression" dxfId="439" priority="381">
      <formula>EXACT(F9,"SÉCU")</formula>
    </cfRule>
    <cfRule type="expression" dxfId="438" priority="382">
      <formula>EXACT(F9,"PLAINE")</formula>
    </cfRule>
    <cfRule type="expression" dxfId="437" priority="383">
      <formula>EXACT(F9,"SURVEILLANCE ACTIVITÉ")</formula>
    </cfRule>
    <cfRule type="expression" dxfId="436" priority="384">
      <formula>EXACT(F9,"PRÉPA OB")</formula>
    </cfRule>
    <cfRule type="expression" dxfId="435" priority="385">
      <formula>EXACT(F9,"REPAS")</formula>
    </cfRule>
    <cfRule type="expression" dxfId="434" priority="386">
      <formula>EXACT(F9,"BUVETTE")</formula>
    </cfRule>
    <cfRule type="expression" dxfId="433" priority="387">
      <formula>EXACT(F9,"NAVETTES")</formula>
    </cfRule>
    <cfRule type="expression" dxfId="432" priority="388">
      <formula>EXACT(F9,"PRÉCHECK")</formula>
    </cfRule>
    <cfRule type="expression" dxfId="431" priority="389">
      <formula>EXACT(F9,"MONTAGE / RANGEMENT")</formula>
    </cfRule>
    <cfRule type="expression" dxfId="430" priority="390">
      <formula>EXACT(F9,"REPOS")</formula>
    </cfRule>
  </conditionalFormatting>
  <conditionalFormatting sqref="F10">
    <cfRule type="expression" dxfId="429" priority="371">
      <formula>EXACT(F10,"SÉCU")</formula>
    </cfRule>
    <cfRule type="expression" dxfId="428" priority="372">
      <formula>EXACT(F10,"PLAINE")</formula>
    </cfRule>
    <cfRule type="expression" dxfId="427" priority="373">
      <formula>EXACT(F10,"SURVEILLANCE ACTIVITÉ")</formula>
    </cfRule>
    <cfRule type="expression" dxfId="426" priority="374">
      <formula>EXACT(F10,"PRÉPA OB")</formula>
    </cfRule>
    <cfRule type="expression" dxfId="425" priority="375">
      <formula>EXACT(F10,"REPAS")</formula>
    </cfRule>
    <cfRule type="expression" dxfId="424" priority="376">
      <formula>EXACT(F10,"BUVETTE")</formula>
    </cfRule>
    <cfRule type="expression" dxfId="423" priority="377">
      <formula>EXACT(F10,"NAVETTES")</formula>
    </cfRule>
    <cfRule type="expression" dxfId="422" priority="378">
      <formula>EXACT(F10,"PRÉCHECK")</formula>
    </cfRule>
    <cfRule type="expression" dxfId="421" priority="379">
      <formula>EXACT(F10,"MONTAGE / RANGEMENT")</formula>
    </cfRule>
    <cfRule type="expression" dxfId="420" priority="380">
      <formula>EXACT(F10,"REPOS")</formula>
    </cfRule>
  </conditionalFormatting>
  <conditionalFormatting sqref="E11:F11">
    <cfRule type="expression" dxfId="419" priority="361">
      <formula>EXACT(E11,"SÉCU")</formula>
    </cfRule>
    <cfRule type="expression" dxfId="418" priority="362">
      <formula>EXACT(E11,"PLAINE")</formula>
    </cfRule>
    <cfRule type="expression" dxfId="417" priority="363">
      <formula>EXACT(E11,"SURVEILLANCE ACTIVITÉ")</formula>
    </cfRule>
    <cfRule type="expression" dxfId="416" priority="364">
      <formula>EXACT(E11,"PRÉPA OB")</formula>
    </cfRule>
    <cfRule type="expression" dxfId="415" priority="365">
      <formula>EXACT(E11,"REPAS")</formula>
    </cfRule>
    <cfRule type="expression" dxfId="414" priority="366">
      <formula>EXACT(E11,"BUVETTE")</formula>
    </cfRule>
    <cfRule type="expression" dxfId="413" priority="367">
      <formula>EXACT(E11,"NAVETTES")</formula>
    </cfRule>
    <cfRule type="expression" dxfId="412" priority="368">
      <formula>EXACT(E11,"PRÉCHECK")</formula>
    </cfRule>
    <cfRule type="expression" dxfId="411" priority="369">
      <formula>EXACT(E11,"MONTAGE / RANGEMENT")</formula>
    </cfRule>
    <cfRule type="expression" dxfId="410" priority="370">
      <formula>EXACT(E11,"REPOS")</formula>
    </cfRule>
  </conditionalFormatting>
  <conditionalFormatting sqref="C22">
    <cfRule type="expression" dxfId="399" priority="351">
      <formula>EXACT(C22,"SÉCU")</formula>
    </cfRule>
    <cfRule type="expression" dxfId="398" priority="352">
      <formula>EXACT(C22,"PLAINE")</formula>
    </cfRule>
    <cfRule type="expression" dxfId="397" priority="353">
      <formula>EXACT(C22,"SURVEILLANCE ACTIVITÉ")</formula>
    </cfRule>
    <cfRule type="expression" dxfId="396" priority="354">
      <formula>EXACT(C22,"PRÉPA OB")</formula>
    </cfRule>
    <cfRule type="expression" dxfId="395" priority="355">
      <formula>EXACT(C22,"REPAS")</formula>
    </cfRule>
    <cfRule type="expression" dxfId="394" priority="356">
      <formula>EXACT(C22,"BUVETTE")</formula>
    </cfRule>
    <cfRule type="expression" dxfId="393" priority="357">
      <formula>EXACT(C22,"NAVETTES")</formula>
    </cfRule>
    <cfRule type="expression" dxfId="392" priority="358">
      <formula>EXACT(C22,"PRÉCHECK")</formula>
    </cfRule>
    <cfRule type="expression" dxfId="391" priority="359">
      <formula>EXACT(C22,"MONTAGE / RANGEMENT")</formula>
    </cfRule>
    <cfRule type="expression" dxfId="390" priority="360">
      <formula>EXACT(C22,"REPOS")</formula>
    </cfRule>
  </conditionalFormatting>
  <conditionalFormatting sqref="D22">
    <cfRule type="expression" dxfId="389" priority="341">
      <formula>EXACT(D22,"SÉCU")</formula>
    </cfRule>
    <cfRule type="expression" dxfId="388" priority="342">
      <formula>EXACT(D22,"PLAINE")</formula>
    </cfRule>
    <cfRule type="expression" dxfId="387" priority="343">
      <formula>EXACT(D22,"SURVEILLANCE ACTIVITÉ")</formula>
    </cfRule>
    <cfRule type="expression" dxfId="386" priority="344">
      <formula>EXACT(D22,"PRÉPA OB")</formula>
    </cfRule>
    <cfRule type="expression" dxfId="385" priority="345">
      <formula>EXACT(D22,"REPAS")</formula>
    </cfRule>
    <cfRule type="expression" dxfId="384" priority="346">
      <formula>EXACT(D22,"BUVETTE")</formula>
    </cfRule>
    <cfRule type="expression" dxfId="383" priority="347">
      <formula>EXACT(D22,"NAVETTES")</formula>
    </cfRule>
    <cfRule type="expression" dxfId="382" priority="348">
      <formula>EXACT(D22,"PRÉCHECK")</formula>
    </cfRule>
    <cfRule type="expression" dxfId="381" priority="349">
      <formula>EXACT(D22,"MONTAGE / RANGEMENT")</formula>
    </cfRule>
    <cfRule type="expression" dxfId="380" priority="350">
      <formula>EXACT(D22,"REPOS")</formula>
    </cfRule>
  </conditionalFormatting>
  <conditionalFormatting sqref="E22">
    <cfRule type="expression" dxfId="379" priority="331">
      <formula>EXACT(E22,"SÉCU")</formula>
    </cfRule>
    <cfRule type="expression" dxfId="378" priority="332">
      <formula>EXACT(E22,"PLAINE")</formula>
    </cfRule>
    <cfRule type="expression" dxfId="377" priority="333">
      <formula>EXACT(E22,"SURVEILLANCE ACTIVITÉ")</formula>
    </cfRule>
    <cfRule type="expression" dxfId="376" priority="334">
      <formula>EXACT(E22,"PRÉPA OB")</formula>
    </cfRule>
    <cfRule type="expression" dxfId="375" priority="335">
      <formula>EXACT(E22,"REPAS")</formula>
    </cfRule>
    <cfRule type="expression" dxfId="374" priority="336">
      <formula>EXACT(E22,"BUVETTE")</formula>
    </cfRule>
    <cfRule type="expression" dxfId="373" priority="337">
      <formula>EXACT(E22,"NAVETTES")</formula>
    </cfRule>
    <cfRule type="expression" dxfId="372" priority="338">
      <formula>EXACT(E22,"PRÉCHECK")</formula>
    </cfRule>
    <cfRule type="expression" dxfId="371" priority="339">
      <formula>EXACT(E22,"MONTAGE / RANGEMENT")</formula>
    </cfRule>
    <cfRule type="expression" dxfId="370" priority="340">
      <formula>EXACT(E22,"REPOS")</formula>
    </cfRule>
  </conditionalFormatting>
  <conditionalFormatting sqref="F22">
    <cfRule type="expression" dxfId="369" priority="321">
      <formula>EXACT(F22,"SÉCU")</formula>
    </cfRule>
    <cfRule type="expression" dxfId="368" priority="322">
      <formula>EXACT(F22,"PLAINE")</formula>
    </cfRule>
    <cfRule type="expression" dxfId="367" priority="323">
      <formula>EXACT(F22,"SURVEILLANCE ACTIVITÉ")</formula>
    </cfRule>
    <cfRule type="expression" dxfId="366" priority="324">
      <formula>EXACT(F22,"PRÉPA OB")</formula>
    </cfRule>
    <cfRule type="expression" dxfId="365" priority="325">
      <formula>EXACT(F22,"REPAS")</formula>
    </cfRule>
    <cfRule type="expression" dxfId="364" priority="326">
      <formula>EXACT(F22,"BUVETTE")</formula>
    </cfRule>
    <cfRule type="expression" dxfId="363" priority="327">
      <formula>EXACT(F22,"NAVETTES")</formula>
    </cfRule>
    <cfRule type="expression" dxfId="362" priority="328">
      <formula>EXACT(F22,"PRÉCHECK")</formula>
    </cfRule>
    <cfRule type="expression" dxfId="361" priority="329">
      <formula>EXACT(F22,"MONTAGE / RANGEMENT")</formula>
    </cfRule>
    <cfRule type="expression" dxfId="360" priority="330">
      <formula>EXACT(F22,"REPOS")</formula>
    </cfRule>
  </conditionalFormatting>
  <conditionalFormatting sqref="G22">
    <cfRule type="expression" dxfId="359" priority="311">
      <formula>EXACT(G22,"SÉCU")</formula>
    </cfRule>
    <cfRule type="expression" dxfId="358" priority="312">
      <formula>EXACT(G22,"PLAINE")</formula>
    </cfRule>
    <cfRule type="expression" dxfId="357" priority="313">
      <formula>EXACT(G22,"SURVEILLANCE ACTIVITÉ")</formula>
    </cfRule>
    <cfRule type="expression" dxfId="356" priority="314">
      <formula>EXACT(G22,"PRÉPA OB")</formula>
    </cfRule>
    <cfRule type="expression" dxfId="355" priority="315">
      <formula>EXACT(G22,"REPAS")</formula>
    </cfRule>
    <cfRule type="expression" dxfId="354" priority="316">
      <formula>EXACT(G22,"BUVETTE")</formula>
    </cfRule>
    <cfRule type="expression" dxfId="353" priority="317">
      <formula>EXACT(G22,"NAVETTES")</formula>
    </cfRule>
    <cfRule type="expression" dxfId="352" priority="318">
      <formula>EXACT(G22,"PRÉCHECK")</formula>
    </cfRule>
    <cfRule type="expression" dxfId="351" priority="319">
      <formula>EXACT(G22,"MONTAGE / RANGEMENT")</formula>
    </cfRule>
    <cfRule type="expression" dxfId="350" priority="320">
      <formula>EXACT(G22,"REPOS")</formula>
    </cfRule>
  </conditionalFormatting>
  <conditionalFormatting sqref="C23">
    <cfRule type="expression" dxfId="349" priority="301">
      <formula>EXACT(C23,"SÉCU")</formula>
    </cfRule>
    <cfRule type="expression" dxfId="348" priority="302">
      <formula>EXACT(C23,"PLAINE")</formula>
    </cfRule>
    <cfRule type="expression" dxfId="347" priority="303">
      <formula>EXACT(C23,"SURVEILLANCE ACTIVITÉ")</formula>
    </cfRule>
    <cfRule type="expression" dxfId="346" priority="304">
      <formula>EXACT(C23,"PRÉPA OB")</formula>
    </cfRule>
    <cfRule type="expression" dxfId="345" priority="305">
      <formula>EXACT(C23,"REPAS")</formula>
    </cfRule>
    <cfRule type="expression" dxfId="344" priority="306">
      <formula>EXACT(C23,"BUVETTE")</formula>
    </cfRule>
    <cfRule type="expression" dxfId="343" priority="307">
      <formula>EXACT(C23,"NAVETTES")</formula>
    </cfRule>
    <cfRule type="expression" dxfId="342" priority="308">
      <formula>EXACT(C23,"PRÉCHECK")</formula>
    </cfRule>
    <cfRule type="expression" dxfId="341" priority="309">
      <formula>EXACT(C23,"MONTAGE / RANGEMENT")</formula>
    </cfRule>
    <cfRule type="expression" dxfId="340" priority="310">
      <formula>EXACT(C23,"REPOS")</formula>
    </cfRule>
  </conditionalFormatting>
  <conditionalFormatting sqref="D23">
    <cfRule type="expression" dxfId="339" priority="291">
      <formula>EXACT(D23,"SÉCU")</formula>
    </cfRule>
    <cfRule type="expression" dxfId="338" priority="292">
      <formula>EXACT(D23,"PLAINE")</formula>
    </cfRule>
    <cfRule type="expression" dxfId="337" priority="293">
      <formula>EXACT(D23,"SURVEILLANCE ACTIVITÉ")</formula>
    </cfRule>
    <cfRule type="expression" dxfId="336" priority="294">
      <formula>EXACT(D23,"PRÉPA OB")</formula>
    </cfRule>
    <cfRule type="expression" dxfId="335" priority="295">
      <formula>EXACT(D23,"REPAS")</formula>
    </cfRule>
    <cfRule type="expression" dxfId="334" priority="296">
      <formula>EXACT(D23,"BUVETTE")</formula>
    </cfRule>
    <cfRule type="expression" dxfId="333" priority="297">
      <formula>EXACT(D23,"NAVETTES")</formula>
    </cfRule>
    <cfRule type="expression" dxfId="332" priority="298">
      <formula>EXACT(D23,"PRÉCHECK")</formula>
    </cfRule>
    <cfRule type="expression" dxfId="331" priority="299">
      <formula>EXACT(D23,"MONTAGE / RANGEMENT")</formula>
    </cfRule>
    <cfRule type="expression" dxfId="330" priority="300">
      <formula>EXACT(D23,"REPOS")</formula>
    </cfRule>
  </conditionalFormatting>
  <conditionalFormatting sqref="E23">
    <cfRule type="expression" dxfId="329" priority="281">
      <formula>EXACT(E23,"SÉCU")</formula>
    </cfRule>
    <cfRule type="expression" dxfId="328" priority="282">
      <formula>EXACT(E23,"PLAINE")</formula>
    </cfRule>
    <cfRule type="expression" dxfId="327" priority="283">
      <formula>EXACT(E23,"SURVEILLANCE ACTIVITÉ")</formula>
    </cfRule>
    <cfRule type="expression" dxfId="326" priority="284">
      <formula>EXACT(E23,"PRÉPA OB")</formula>
    </cfRule>
    <cfRule type="expression" dxfId="325" priority="285">
      <formula>EXACT(E23,"REPAS")</formula>
    </cfRule>
    <cfRule type="expression" dxfId="324" priority="286">
      <formula>EXACT(E23,"BUVETTE")</formula>
    </cfRule>
    <cfRule type="expression" dxfId="323" priority="287">
      <formula>EXACT(E23,"NAVETTES")</formula>
    </cfRule>
    <cfRule type="expression" dxfId="322" priority="288">
      <formula>EXACT(E23,"PRÉCHECK")</formula>
    </cfRule>
    <cfRule type="expression" dxfId="321" priority="289">
      <formula>EXACT(E23,"MONTAGE / RANGEMENT")</formula>
    </cfRule>
    <cfRule type="expression" dxfId="320" priority="290">
      <formula>EXACT(E23,"REPOS")</formula>
    </cfRule>
  </conditionalFormatting>
  <conditionalFormatting sqref="F23">
    <cfRule type="expression" dxfId="319" priority="271">
      <formula>EXACT(F23,"SÉCU")</formula>
    </cfRule>
    <cfRule type="expression" dxfId="318" priority="272">
      <formula>EXACT(F23,"PLAINE")</formula>
    </cfRule>
    <cfRule type="expression" dxfId="317" priority="273">
      <formula>EXACT(F23,"SURVEILLANCE ACTIVITÉ")</formula>
    </cfRule>
    <cfRule type="expression" dxfId="316" priority="274">
      <formula>EXACT(F23,"PRÉPA OB")</formula>
    </cfRule>
    <cfRule type="expression" dxfId="315" priority="275">
      <formula>EXACT(F23,"REPAS")</formula>
    </cfRule>
    <cfRule type="expression" dxfId="314" priority="276">
      <formula>EXACT(F23,"BUVETTE")</formula>
    </cfRule>
    <cfRule type="expression" dxfId="313" priority="277">
      <formula>EXACT(F23,"NAVETTES")</formula>
    </cfRule>
    <cfRule type="expression" dxfId="312" priority="278">
      <formula>EXACT(F23,"PRÉCHECK")</formula>
    </cfRule>
    <cfRule type="expression" dxfId="311" priority="279">
      <formula>EXACT(F23,"MONTAGE / RANGEMENT")</formula>
    </cfRule>
    <cfRule type="expression" dxfId="310" priority="280">
      <formula>EXACT(F23,"REPOS")</formula>
    </cfRule>
  </conditionalFormatting>
  <conditionalFormatting sqref="G23">
    <cfRule type="expression" dxfId="309" priority="261">
      <formula>EXACT(G23,"SÉCU")</formula>
    </cfRule>
    <cfRule type="expression" dxfId="308" priority="262">
      <formula>EXACT(G23,"PLAINE")</formula>
    </cfRule>
    <cfRule type="expression" dxfId="307" priority="263">
      <formula>EXACT(G23,"SURVEILLANCE ACTIVITÉ")</formula>
    </cfRule>
    <cfRule type="expression" dxfId="306" priority="264">
      <formula>EXACT(G23,"PRÉPA OB")</formula>
    </cfRule>
    <cfRule type="expression" dxfId="305" priority="265">
      <formula>EXACT(G23,"REPAS")</formula>
    </cfRule>
    <cfRule type="expression" dxfId="304" priority="266">
      <formula>EXACT(G23,"BUVETTE")</formula>
    </cfRule>
    <cfRule type="expression" dxfId="303" priority="267">
      <formula>EXACT(G23,"NAVETTES")</formula>
    </cfRule>
    <cfRule type="expression" dxfId="302" priority="268">
      <formula>EXACT(G23,"PRÉCHECK")</formula>
    </cfRule>
    <cfRule type="expression" dxfId="301" priority="269">
      <formula>EXACT(G23,"MONTAGE / RANGEMENT")</formula>
    </cfRule>
    <cfRule type="expression" dxfId="300" priority="270">
      <formula>EXACT(G23,"REPOS")</formula>
    </cfRule>
  </conditionalFormatting>
  <conditionalFormatting sqref="C25:G25">
    <cfRule type="expression" dxfId="299" priority="251">
      <formula>EXACT(C25,"SÉCU")</formula>
    </cfRule>
    <cfRule type="expression" dxfId="298" priority="252">
      <formula>EXACT(C25,"PLAINE")</formula>
    </cfRule>
    <cfRule type="expression" dxfId="297" priority="253">
      <formula>EXACT(C25,"SURVEILLANCE ACTIVITÉ")</formula>
    </cfRule>
    <cfRule type="expression" dxfId="296" priority="254">
      <formula>EXACT(C25,"PRÉPA OB")</formula>
    </cfRule>
    <cfRule type="expression" dxfId="295" priority="255">
      <formula>EXACT(C25,"REPAS")</formula>
    </cfRule>
    <cfRule type="expression" dxfId="294" priority="256">
      <formula>EXACT(C25,"BUVETTE")</formula>
    </cfRule>
    <cfRule type="expression" dxfId="293" priority="257">
      <formula>EXACT(C25,"NAVETTES")</formula>
    </cfRule>
    <cfRule type="expression" dxfId="292" priority="258">
      <formula>EXACT(C25,"PRÉCHECK")</formula>
    </cfRule>
    <cfRule type="expression" dxfId="291" priority="259">
      <formula>EXACT(C25,"MONTAGE / RANGEMENT")</formula>
    </cfRule>
    <cfRule type="expression" dxfId="290" priority="260">
      <formula>EXACT(C25,"REPOS")</formula>
    </cfRule>
  </conditionalFormatting>
  <conditionalFormatting sqref="G24">
    <cfRule type="expression" dxfId="249" priority="241">
      <formula>EXACT(G24,"SÉCU")</formula>
    </cfRule>
    <cfRule type="expression" dxfId="248" priority="242">
      <formula>EXACT(G24,"PLAINE")</formula>
    </cfRule>
    <cfRule type="expression" dxfId="247" priority="243">
      <formula>EXACT(G24,"SURVEILLANCE ACTIVITÉ")</formula>
    </cfRule>
    <cfRule type="expression" dxfId="246" priority="244">
      <formula>EXACT(G24,"PRÉPA OB")</formula>
    </cfRule>
    <cfRule type="expression" dxfId="245" priority="245">
      <formula>EXACT(G24,"REPAS")</formula>
    </cfRule>
    <cfRule type="expression" dxfId="244" priority="246">
      <formula>EXACT(G24,"BUVETTE")</formula>
    </cfRule>
    <cfRule type="expression" dxfId="243" priority="247">
      <formula>EXACT(G24,"NAVETTES")</formula>
    </cfRule>
    <cfRule type="expression" dxfId="242" priority="248">
      <formula>EXACT(G24,"PRÉCHECK")</formula>
    </cfRule>
    <cfRule type="expression" dxfId="241" priority="249">
      <formula>EXACT(G24,"MONTAGE / RANGEMENT")</formula>
    </cfRule>
    <cfRule type="expression" dxfId="240" priority="250">
      <formula>EXACT(G24,"REPOS")</formula>
    </cfRule>
  </conditionalFormatting>
  <conditionalFormatting sqref="F24">
    <cfRule type="expression" dxfId="239" priority="231">
      <formula>EXACT(F24,"SÉCU")</formula>
    </cfRule>
    <cfRule type="expression" dxfId="238" priority="232">
      <formula>EXACT(F24,"PLAINE")</formula>
    </cfRule>
    <cfRule type="expression" dxfId="237" priority="233">
      <formula>EXACT(F24,"SURVEILLANCE ACTIVITÉ")</formula>
    </cfRule>
    <cfRule type="expression" dxfId="236" priority="234">
      <formula>EXACT(F24,"PRÉPA OB")</formula>
    </cfRule>
    <cfRule type="expression" dxfId="235" priority="235">
      <formula>EXACT(F24,"REPAS")</formula>
    </cfRule>
    <cfRule type="expression" dxfId="234" priority="236">
      <formula>EXACT(F24,"BUVETTE")</formula>
    </cfRule>
    <cfRule type="expression" dxfId="233" priority="237">
      <formula>EXACT(F24,"NAVETTES")</formula>
    </cfRule>
    <cfRule type="expression" dxfId="232" priority="238">
      <formula>EXACT(F24,"PRÉCHECK")</formula>
    </cfRule>
    <cfRule type="expression" dxfId="231" priority="239">
      <formula>EXACT(F24,"MONTAGE / RANGEMENT")</formula>
    </cfRule>
    <cfRule type="expression" dxfId="230" priority="240">
      <formula>EXACT(F24,"REPOS")</formula>
    </cfRule>
  </conditionalFormatting>
  <conditionalFormatting sqref="D24:E24">
    <cfRule type="expression" dxfId="229" priority="221">
      <formula>EXACT(D24,"SÉCU")</formula>
    </cfRule>
    <cfRule type="expression" dxfId="228" priority="222">
      <formula>EXACT(D24,"PLAINE")</formula>
    </cfRule>
    <cfRule type="expression" dxfId="227" priority="223">
      <formula>EXACT(D24,"SURVEILLANCE ACTIVITÉ")</formula>
    </cfRule>
    <cfRule type="expression" dxfId="226" priority="224">
      <formula>EXACT(D24,"PRÉPA OB")</formula>
    </cfRule>
    <cfRule type="expression" dxfId="225" priority="225">
      <formula>EXACT(D24,"REPAS")</formula>
    </cfRule>
    <cfRule type="expression" dxfId="224" priority="226">
      <formula>EXACT(D24,"BUVETTE")</formula>
    </cfRule>
    <cfRule type="expression" dxfId="223" priority="227">
      <formula>EXACT(D24,"NAVETTES")</formula>
    </cfRule>
    <cfRule type="expression" dxfId="222" priority="228">
      <formula>EXACT(D24,"PRÉCHECK")</formula>
    </cfRule>
    <cfRule type="expression" dxfId="221" priority="229">
      <formula>EXACT(D24,"MONTAGE / RANGEMENT")</formula>
    </cfRule>
    <cfRule type="expression" dxfId="220" priority="230">
      <formula>EXACT(D24,"REPOS")</formula>
    </cfRule>
  </conditionalFormatting>
  <conditionalFormatting sqref="C24">
    <cfRule type="expression" dxfId="219" priority="211">
      <formula>EXACT(C24,"SÉCU")</formula>
    </cfRule>
    <cfRule type="expression" dxfId="218" priority="212">
      <formula>EXACT(C24,"PLAINE")</formula>
    </cfRule>
    <cfRule type="expression" dxfId="217" priority="213">
      <formula>EXACT(C24,"SURVEILLANCE ACTIVITÉ")</formula>
    </cfRule>
    <cfRule type="expression" dxfId="216" priority="214">
      <formula>EXACT(C24,"PRÉPA OB")</formula>
    </cfRule>
    <cfRule type="expression" dxfId="215" priority="215">
      <formula>EXACT(C24,"REPAS")</formula>
    </cfRule>
    <cfRule type="expression" dxfId="214" priority="216">
      <formula>EXACT(C24,"BUVETTE")</formula>
    </cfRule>
    <cfRule type="expression" dxfId="213" priority="217">
      <formula>EXACT(C24,"NAVETTES")</formula>
    </cfRule>
    <cfRule type="expression" dxfId="212" priority="218">
      <formula>EXACT(C24,"PRÉCHECK")</formula>
    </cfRule>
    <cfRule type="expression" dxfId="211" priority="219">
      <formula>EXACT(C24,"MONTAGE / RANGEMENT")</formula>
    </cfRule>
    <cfRule type="expression" dxfId="210" priority="220">
      <formula>EXACT(C24,"REPOS")</formula>
    </cfRule>
  </conditionalFormatting>
  <conditionalFormatting sqref="C26">
    <cfRule type="expression" dxfId="209" priority="201">
      <formula>EXACT(C26,"SÉCU")</formula>
    </cfRule>
    <cfRule type="expression" dxfId="208" priority="202">
      <formula>EXACT(C26,"PLAINE")</formula>
    </cfRule>
    <cfRule type="expression" dxfId="207" priority="203">
      <formula>EXACT(C26,"SURVEILLANCE ACTIVITÉ")</formula>
    </cfRule>
    <cfRule type="expression" dxfId="206" priority="204">
      <formula>EXACT(C26,"PRÉPA OB")</formula>
    </cfRule>
    <cfRule type="expression" dxfId="205" priority="205">
      <formula>EXACT(C26,"REPAS")</formula>
    </cfRule>
    <cfRule type="expression" dxfId="204" priority="206">
      <formula>EXACT(C26,"BUVETTE")</formula>
    </cfRule>
    <cfRule type="expression" dxfId="203" priority="207">
      <formula>EXACT(C26,"NAVETTES")</formula>
    </cfRule>
    <cfRule type="expression" dxfId="202" priority="208">
      <formula>EXACT(C26,"PRÉCHECK")</formula>
    </cfRule>
    <cfRule type="expression" dxfId="201" priority="209">
      <formula>EXACT(C26,"MONTAGE / RANGEMENT")</formula>
    </cfRule>
    <cfRule type="expression" dxfId="200" priority="210">
      <formula>EXACT(C26,"REPOS")</formula>
    </cfRule>
  </conditionalFormatting>
  <conditionalFormatting sqref="D26">
    <cfRule type="expression" dxfId="199" priority="191">
      <formula>EXACT(D26,"SÉCU")</formula>
    </cfRule>
    <cfRule type="expression" dxfId="198" priority="192">
      <formula>EXACT(D26,"PLAINE")</formula>
    </cfRule>
    <cfRule type="expression" dxfId="197" priority="193">
      <formula>EXACT(D26,"SURVEILLANCE ACTIVITÉ")</formula>
    </cfRule>
    <cfRule type="expression" dxfId="196" priority="194">
      <formula>EXACT(D26,"PRÉPA OB")</formula>
    </cfRule>
    <cfRule type="expression" dxfId="195" priority="195">
      <formula>EXACT(D26,"REPAS")</formula>
    </cfRule>
    <cfRule type="expression" dxfId="194" priority="196">
      <formula>EXACT(D26,"BUVETTE")</formula>
    </cfRule>
    <cfRule type="expression" dxfId="193" priority="197">
      <formula>EXACT(D26,"NAVETTES")</formula>
    </cfRule>
    <cfRule type="expression" dxfId="192" priority="198">
      <formula>EXACT(D26,"PRÉCHECK")</formula>
    </cfRule>
    <cfRule type="expression" dxfId="191" priority="199">
      <formula>EXACT(D26,"MONTAGE / RANGEMENT")</formula>
    </cfRule>
    <cfRule type="expression" dxfId="190" priority="200">
      <formula>EXACT(D26,"REPOS")</formula>
    </cfRule>
  </conditionalFormatting>
  <conditionalFormatting sqref="E26">
    <cfRule type="expression" dxfId="189" priority="181">
      <formula>EXACT(E26,"SÉCU")</formula>
    </cfRule>
    <cfRule type="expression" dxfId="188" priority="182">
      <formula>EXACT(E26,"PLAINE")</formula>
    </cfRule>
    <cfRule type="expression" dxfId="187" priority="183">
      <formula>EXACT(E26,"SURVEILLANCE ACTIVITÉ")</formula>
    </cfRule>
    <cfRule type="expression" dxfId="186" priority="184">
      <formula>EXACT(E26,"PRÉPA OB")</formula>
    </cfRule>
    <cfRule type="expression" dxfId="185" priority="185">
      <formula>EXACT(E26,"REPAS")</formula>
    </cfRule>
    <cfRule type="expression" dxfId="184" priority="186">
      <formula>EXACT(E26,"BUVETTE")</formula>
    </cfRule>
    <cfRule type="expression" dxfId="183" priority="187">
      <formula>EXACT(E26,"NAVETTES")</formula>
    </cfRule>
    <cfRule type="expression" dxfId="182" priority="188">
      <formula>EXACT(E26,"PRÉCHECK")</formula>
    </cfRule>
    <cfRule type="expression" dxfId="181" priority="189">
      <formula>EXACT(E26,"MONTAGE / RANGEMENT")</formula>
    </cfRule>
    <cfRule type="expression" dxfId="180" priority="190">
      <formula>EXACT(E26,"REPOS")</formula>
    </cfRule>
  </conditionalFormatting>
  <conditionalFormatting sqref="F26">
    <cfRule type="expression" dxfId="179" priority="171">
      <formula>EXACT(F26,"SÉCU")</formula>
    </cfRule>
    <cfRule type="expression" dxfId="178" priority="172">
      <formula>EXACT(F26,"PLAINE")</formula>
    </cfRule>
    <cfRule type="expression" dxfId="177" priority="173">
      <formula>EXACT(F26,"SURVEILLANCE ACTIVITÉ")</formula>
    </cfRule>
    <cfRule type="expression" dxfId="176" priority="174">
      <formula>EXACT(F26,"PRÉPA OB")</formula>
    </cfRule>
    <cfRule type="expression" dxfId="175" priority="175">
      <formula>EXACT(F26,"REPAS")</formula>
    </cfRule>
    <cfRule type="expression" dxfId="174" priority="176">
      <formula>EXACT(F26,"BUVETTE")</formula>
    </cfRule>
    <cfRule type="expression" dxfId="173" priority="177">
      <formula>EXACT(F26,"NAVETTES")</formula>
    </cfRule>
    <cfRule type="expression" dxfId="172" priority="178">
      <formula>EXACT(F26,"PRÉCHECK")</formula>
    </cfRule>
    <cfRule type="expression" dxfId="171" priority="179">
      <formula>EXACT(F26,"MONTAGE / RANGEMENT")</formula>
    </cfRule>
    <cfRule type="expression" dxfId="170" priority="180">
      <formula>EXACT(F26,"REPOS")</formula>
    </cfRule>
  </conditionalFormatting>
  <conditionalFormatting sqref="G26:G27">
    <cfRule type="expression" dxfId="169" priority="161">
      <formula>EXACT(G26,"SÉCU")</formula>
    </cfRule>
    <cfRule type="expression" dxfId="168" priority="162">
      <formula>EXACT(G26,"PLAINE")</formula>
    </cfRule>
    <cfRule type="expression" dxfId="167" priority="163">
      <formula>EXACT(G26,"SURVEILLANCE ACTIVITÉ")</formula>
    </cfRule>
    <cfRule type="expression" dxfId="166" priority="164">
      <formula>EXACT(G26,"PRÉPA OB")</formula>
    </cfRule>
    <cfRule type="expression" dxfId="165" priority="165">
      <formula>EXACT(G26,"REPAS")</formula>
    </cfRule>
    <cfRule type="expression" dxfId="164" priority="166">
      <formula>EXACT(G26,"BUVETTE")</formula>
    </cfRule>
    <cfRule type="expression" dxfId="163" priority="167">
      <formula>EXACT(G26,"NAVETTES")</formula>
    </cfRule>
    <cfRule type="expression" dxfId="162" priority="168">
      <formula>EXACT(G26,"PRÉCHECK")</formula>
    </cfRule>
    <cfRule type="expression" dxfId="161" priority="169">
      <formula>EXACT(G26,"MONTAGE / RANGEMENT")</formula>
    </cfRule>
    <cfRule type="expression" dxfId="160" priority="170">
      <formula>EXACT(G26,"REPOS")</formula>
    </cfRule>
  </conditionalFormatting>
  <conditionalFormatting sqref="F27">
    <cfRule type="expression" dxfId="159" priority="151">
      <formula>EXACT(F27,"SÉCU")</formula>
    </cfRule>
    <cfRule type="expression" dxfId="158" priority="152">
      <formula>EXACT(F27,"PLAINE")</formula>
    </cfRule>
    <cfRule type="expression" dxfId="157" priority="153">
      <formula>EXACT(F27,"SURVEILLANCE ACTIVITÉ")</formula>
    </cfRule>
    <cfRule type="expression" dxfId="156" priority="154">
      <formula>EXACT(F27,"PRÉPA OB")</formula>
    </cfRule>
    <cfRule type="expression" dxfId="155" priority="155">
      <formula>EXACT(F27,"REPAS")</formula>
    </cfRule>
    <cfRule type="expression" dxfId="154" priority="156">
      <formula>EXACT(F27,"BUVETTE")</formula>
    </cfRule>
    <cfRule type="expression" dxfId="153" priority="157">
      <formula>EXACT(F27,"NAVETTES")</formula>
    </cfRule>
    <cfRule type="expression" dxfId="152" priority="158">
      <formula>EXACT(F27,"PRÉCHECK")</formula>
    </cfRule>
    <cfRule type="expression" dxfId="151" priority="159">
      <formula>EXACT(F27,"MONTAGE / RANGEMENT")</formula>
    </cfRule>
    <cfRule type="expression" dxfId="150" priority="160">
      <formula>EXACT(F27,"REPOS")</formula>
    </cfRule>
  </conditionalFormatting>
  <conditionalFormatting sqref="E27">
    <cfRule type="expression" dxfId="149" priority="141">
      <formula>EXACT(E27,"SÉCU")</formula>
    </cfRule>
    <cfRule type="expression" dxfId="148" priority="142">
      <formula>EXACT(E27,"PLAINE")</formula>
    </cfRule>
    <cfRule type="expression" dxfId="147" priority="143">
      <formula>EXACT(E27,"SURVEILLANCE ACTIVITÉ")</formula>
    </cfRule>
    <cfRule type="expression" dxfId="146" priority="144">
      <formula>EXACT(E27,"PRÉPA OB")</formula>
    </cfRule>
    <cfRule type="expression" dxfId="145" priority="145">
      <formula>EXACT(E27,"REPAS")</formula>
    </cfRule>
    <cfRule type="expression" dxfId="144" priority="146">
      <formula>EXACT(E27,"BUVETTE")</formula>
    </cfRule>
    <cfRule type="expression" dxfId="143" priority="147">
      <formula>EXACT(E27,"NAVETTES")</formula>
    </cfRule>
    <cfRule type="expression" dxfId="142" priority="148">
      <formula>EXACT(E27,"PRÉCHECK")</formula>
    </cfRule>
    <cfRule type="expression" dxfId="141" priority="149">
      <formula>EXACT(E27,"MONTAGE / RANGEMENT")</formula>
    </cfRule>
    <cfRule type="expression" dxfId="140" priority="150">
      <formula>EXACT(E27,"REPOS")</formula>
    </cfRule>
  </conditionalFormatting>
  <conditionalFormatting sqref="D27">
    <cfRule type="expression" dxfId="139" priority="131">
      <formula>EXACT(D27,"SÉCU")</formula>
    </cfRule>
    <cfRule type="expression" dxfId="138" priority="132">
      <formula>EXACT(D27,"PLAINE")</formula>
    </cfRule>
    <cfRule type="expression" dxfId="137" priority="133">
      <formula>EXACT(D27,"SURVEILLANCE ACTIVITÉ")</formula>
    </cfRule>
    <cfRule type="expression" dxfId="136" priority="134">
      <formula>EXACT(D27,"PRÉPA OB")</formula>
    </cfRule>
    <cfRule type="expression" dxfId="135" priority="135">
      <formula>EXACT(D27,"REPAS")</formula>
    </cfRule>
    <cfRule type="expression" dxfId="134" priority="136">
      <formula>EXACT(D27,"BUVETTE")</formula>
    </cfRule>
    <cfRule type="expression" dxfId="133" priority="137">
      <formula>EXACT(D27,"NAVETTES")</formula>
    </cfRule>
    <cfRule type="expression" dxfId="132" priority="138">
      <formula>EXACT(D27,"PRÉCHECK")</formula>
    </cfRule>
    <cfRule type="expression" dxfId="131" priority="139">
      <formula>EXACT(D27,"MONTAGE / RANGEMENT")</formula>
    </cfRule>
    <cfRule type="expression" dxfId="130" priority="140">
      <formula>EXACT(D27,"REPOS")</formula>
    </cfRule>
  </conditionalFormatting>
  <conditionalFormatting sqref="C27">
    <cfRule type="expression" dxfId="129" priority="121">
      <formula>EXACT(C27,"SÉCU")</formula>
    </cfRule>
    <cfRule type="expression" dxfId="128" priority="122">
      <formula>EXACT(C27,"PLAINE")</formula>
    </cfRule>
    <cfRule type="expression" dxfId="127" priority="123">
      <formula>EXACT(C27,"SURVEILLANCE ACTIVITÉ")</formula>
    </cfRule>
    <cfRule type="expression" dxfId="126" priority="124">
      <formula>EXACT(C27,"PRÉPA OB")</formula>
    </cfRule>
    <cfRule type="expression" dxfId="125" priority="125">
      <formula>EXACT(C27,"REPAS")</formula>
    </cfRule>
    <cfRule type="expression" dxfId="124" priority="126">
      <formula>EXACT(C27,"BUVETTE")</formula>
    </cfRule>
    <cfRule type="expression" dxfId="123" priority="127">
      <formula>EXACT(C27,"NAVETTES")</formula>
    </cfRule>
    <cfRule type="expression" dxfId="122" priority="128">
      <formula>EXACT(C27,"PRÉCHECK")</formula>
    </cfRule>
    <cfRule type="expression" dxfId="121" priority="129">
      <formula>EXACT(C27,"MONTAGE / RANGEMENT")</formula>
    </cfRule>
    <cfRule type="expression" dxfId="120" priority="130">
      <formula>EXACT(C27,"REPOS")</formula>
    </cfRule>
  </conditionalFormatting>
  <conditionalFormatting sqref="C28:G28">
    <cfRule type="expression" dxfId="9" priority="1">
      <formula>EXACT(C28,"SÉCU")</formula>
    </cfRule>
    <cfRule type="expression" dxfId="8" priority="2">
      <formula>EXACT(C28,"PLAINE")</formula>
    </cfRule>
    <cfRule type="expression" dxfId="7" priority="3">
      <formula>EXACT(C28,"SURVEILLANCE ACTIVITÉ")</formula>
    </cfRule>
    <cfRule type="expression" dxfId="6" priority="4">
      <formula>EXACT(C28,"PRÉPA OB")</formula>
    </cfRule>
    <cfRule type="expression" dxfId="5" priority="5">
      <formula>EXACT(C28,"REPAS")</formula>
    </cfRule>
    <cfRule type="expression" dxfId="4" priority="6">
      <formula>EXACT(C28,"BUVETTE")</formula>
    </cfRule>
    <cfRule type="expression" dxfId="3" priority="7">
      <formula>EXACT(C28,"NAVETTES")</formula>
    </cfRule>
    <cfRule type="expression" dxfId="2" priority="8">
      <formula>EXACT(C28,"PRÉCHECK")</formula>
    </cfRule>
    <cfRule type="expression" dxfId="1" priority="9">
      <formula>EXACT(C28,"MONTAGE / RANGEMENT")</formula>
    </cfRule>
    <cfRule type="expression" dxfId="0" priority="10">
      <formula>EXACT(C28,"REPOS")</formula>
    </cfRule>
  </conditionalFormatting>
  <pageMargins left="0.75" right="0.75" top="1" bottom="1" header="0.511811023622047" footer="0.511811023622047"/>
  <pageSetup fitToHeight="0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200-000000000000}">
          <x14:formula1>
            <xm:f>Paramètres!$G$6:$G$20</xm:f>
          </x14:formula1>
          <x14:formula2>
            <xm:f>0</xm:f>
          </x14:formula2>
          <xm:sqref>C5:G28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J33"/>
  <sheetViews>
    <sheetView showGridLines="0" zoomScaleNormal="100" workbookViewId="0">
      <selection activeCell="C10" sqref="C10"/>
    </sheetView>
  </sheetViews>
  <sheetFormatPr baseColWidth="10" defaultColWidth="8.6640625" defaultRowHeight="15" x14ac:dyDescent="0.2"/>
  <cols>
    <col min="1" max="1" width="2" customWidth="1"/>
    <col min="2" max="2" width="14" customWidth="1"/>
    <col min="3" max="4" width="24" customWidth="1"/>
    <col min="5" max="5" width="22" customWidth="1"/>
    <col min="6" max="7" width="12" customWidth="1"/>
    <col min="10" max="10" width="13" hidden="1" customWidth="1"/>
  </cols>
  <sheetData>
    <row r="2" spans="2:10" ht="25.5" customHeight="1" x14ac:dyDescent="0.2">
      <c r="B2" s="7" t="s">
        <v>116</v>
      </c>
      <c r="C2" s="7"/>
      <c r="D2" s="7"/>
      <c r="E2" s="7"/>
    </row>
    <row r="4" spans="2:10" ht="16" x14ac:dyDescent="0.2">
      <c r="B4" s="38" t="s">
        <v>117</v>
      </c>
      <c r="C4" s="2" t="s">
        <v>39</v>
      </c>
      <c r="D4" s="2"/>
      <c r="E4" s="8" t="s">
        <v>118</v>
      </c>
    </row>
    <row r="5" spans="2:10" ht="16" x14ac:dyDescent="0.2">
      <c r="B5" s="38" t="s">
        <v>119</v>
      </c>
      <c r="C5" s="39" t="str">
        <f>IFERROR(INDEX(Paramètres!$C$26:$C$49,MATCH($C$4,Paramètres!$B$26:$B$49,0)),"")</f>
        <v>Équipe 1</v>
      </c>
    </row>
    <row r="6" spans="2:10" x14ac:dyDescent="0.2">
      <c r="B6" s="38" t="s">
        <v>120</v>
      </c>
      <c r="C6" s="1" t="str">
        <f>IFERROR(_xlfn.TEXTJOIN(", ",TRUE(),$J$9:$J$32),"")</f>
        <v>Camille, Colombe, Célie, Lucien, Blanche</v>
      </c>
      <c r="D6" s="1"/>
      <c r="E6" s="1"/>
      <c r="F6" s="1"/>
      <c r="G6" s="1"/>
    </row>
    <row r="7" spans="2:10" x14ac:dyDescent="0.2">
      <c r="B7" s="38" t="s">
        <v>121</v>
      </c>
      <c r="C7" s="40" t="str">
        <f>IFERROR(INDEX(Paramètres!$F$6:$F$10,MATCH($C$5,Paramètres!$B$6:$B$10,0)),"")</f>
        <v>Célie</v>
      </c>
    </row>
    <row r="9" spans="2:10" x14ac:dyDescent="0.2">
      <c r="B9" s="9" t="s">
        <v>80</v>
      </c>
      <c r="C9" s="9" t="s">
        <v>122</v>
      </c>
      <c r="D9" s="9" t="s">
        <v>123</v>
      </c>
      <c r="J9" t="str">
        <f>IF(Paramètres!$C$26=$C$5,Paramètres!$B$26,"")</f>
        <v>Camille</v>
      </c>
    </row>
    <row r="10" spans="2:10" x14ac:dyDescent="0.2">
      <c r="B10" s="41" t="s">
        <v>11</v>
      </c>
      <c r="C10" s="42" t="str">
        <f>IFERROR(IF(INDEX('J1 — VEN 18'!$C$5:$G$28,1,MATCH($C$5,'J1 — VEN 18'!$C$4:$G$4,0))="","",INDEX('J1 — VEN 18'!$C$5:$G$28,1,MATCH($C$5,'J1 — VEN 18'!$C$4:$G$4,0))),"")</f>
        <v/>
      </c>
      <c r="D10" s="42" t="str">
        <f>IFERROR(IF(INDEX('J2 — SAM 19'!$C$5:$G$28,1,MATCH($C$5,'J2 — SAM 19'!$C$4:$G$4,0))="","",INDEX('J2 — SAM 19'!$C$5:$G$28,1,MATCH($C$5,'J2 — SAM 19'!$C$4:$G$4,0))),"")</f>
        <v/>
      </c>
      <c r="J10" t="str">
        <f>IF(Paramètres!$C$27=$C$5,Paramètres!$B$27,"")</f>
        <v>Colombe</v>
      </c>
    </row>
    <row r="11" spans="2:10" x14ac:dyDescent="0.2">
      <c r="B11" s="41" t="s">
        <v>14</v>
      </c>
      <c r="C11" s="42" t="str">
        <f>IFERROR(IF(INDEX('J1 — VEN 18'!$C$5:$G$28,2,MATCH($C$5,'J1 — VEN 18'!$C$4:$G$4,0))="","",INDEX('J1 — VEN 18'!$C$5:$G$28,2,MATCH($C$5,'J1 — VEN 18'!$C$4:$G$4,0))),"")</f>
        <v/>
      </c>
      <c r="D11" s="42" t="str">
        <f>IFERROR(IF(INDEX('J2 — SAM 19'!$C$5:$G$28,2,MATCH($C$5,'J2 — SAM 19'!$C$4:$G$4,0))="","",INDEX('J2 — SAM 19'!$C$5:$G$28,2,MATCH($C$5,'J2 — SAM 19'!$C$4:$G$4,0))),"")</f>
        <v/>
      </c>
      <c r="J11" t="str">
        <f>IF(Paramètres!$C$28=$C$5,Paramètres!$B$28,"")</f>
        <v>Célie</v>
      </c>
    </row>
    <row r="12" spans="2:10" x14ac:dyDescent="0.2">
      <c r="B12" s="41" t="s">
        <v>17</v>
      </c>
      <c r="C12" s="42" t="str">
        <f>IFERROR(IF(INDEX('J1 — VEN 18'!$C$5:$G$28,3,MATCH($C$5,'J1 — VEN 18'!$C$4:$G$4,0))="","",INDEX('J1 — VEN 18'!$C$5:$G$28,3,MATCH($C$5,'J1 — VEN 18'!$C$4:$G$4,0))),"")</f>
        <v/>
      </c>
      <c r="D12" s="42" t="str">
        <f>IFERROR(IF(INDEX('J2 — SAM 19'!$C$5:$G$28,3,MATCH($C$5,'J2 — SAM 19'!$C$4:$G$4,0))="","",INDEX('J2 — SAM 19'!$C$5:$G$28,3,MATCH($C$5,'J2 — SAM 19'!$C$4:$G$4,0))),"")</f>
        <v/>
      </c>
      <c r="J12" t="str">
        <f>IF(Paramètres!$C$29=$C$5,Paramètres!$B$29,"")</f>
        <v>Lucien</v>
      </c>
    </row>
    <row r="13" spans="2:10" x14ac:dyDescent="0.2">
      <c r="B13" s="41" t="s">
        <v>20</v>
      </c>
      <c r="C13" s="42" t="str">
        <f>IFERROR(IF(INDEX('J1 — VEN 18'!$C$5:$G$28,4,MATCH($C$5,'J1 — VEN 18'!$C$4:$G$4,0))="","",INDEX('J1 — VEN 18'!$C$5:$G$28,4,MATCH($C$5,'J1 — VEN 18'!$C$4:$G$4,0))),"")</f>
        <v/>
      </c>
      <c r="D13" s="42" t="str">
        <f>IFERROR(IF(INDEX('J2 — SAM 19'!$C$5:$G$28,4,MATCH($C$5,'J2 — SAM 19'!$C$4:$G$4,0))="","",INDEX('J2 — SAM 19'!$C$5:$G$28,4,MATCH($C$5,'J2 — SAM 19'!$C$4:$G$4,0))),"")</f>
        <v/>
      </c>
      <c r="J13" t="str">
        <f>IF(Paramètres!$C$30=$C$5,Paramètres!$B$30,"")</f>
        <v/>
      </c>
    </row>
    <row r="14" spans="2:10" x14ac:dyDescent="0.2">
      <c r="B14" s="41" t="s">
        <v>23</v>
      </c>
      <c r="C14" s="42" t="str">
        <f>IFERROR(IF(INDEX('J1 — VEN 18'!$C$5:$G$28,5,MATCH($C$5,'J1 — VEN 18'!$C$4:$G$4,0))="","",INDEX('J1 — VEN 18'!$C$5:$G$28,5,MATCH($C$5,'J1 — VEN 18'!$C$4:$G$4,0))),"")</f>
        <v/>
      </c>
      <c r="D14" s="42" t="str">
        <f>IFERROR(IF(INDEX('J2 — SAM 19'!$C$5:$G$28,5,MATCH($C$5,'J2 — SAM 19'!$C$4:$G$4,0))="","",INDEX('J2 — SAM 19'!$C$5:$G$28,5,MATCH($C$5,'J2 — SAM 19'!$C$4:$G$4,0))),"")</f>
        <v/>
      </c>
      <c r="J14" t="str">
        <f>IF(Paramètres!$C$31=$C$5,Paramètres!$B$31,"")</f>
        <v/>
      </c>
    </row>
    <row r="15" spans="2:10" x14ac:dyDescent="0.2">
      <c r="B15" s="41" t="s">
        <v>25</v>
      </c>
      <c r="C15" s="42" t="str">
        <f>IFERROR(IF(INDEX('J1 — VEN 18'!$C$5:$G$28,6,MATCH($C$5,'J1 — VEN 18'!$C$4:$G$4,0))="","",INDEX('J1 — VEN 18'!$C$5:$G$28,6,MATCH($C$5,'J1 — VEN 18'!$C$4:$G$4,0))),"")</f>
        <v/>
      </c>
      <c r="D15" s="42" t="str">
        <f>IFERROR(IF(INDEX('J2 — SAM 19'!$C$5:$G$28,6,MATCH($C$5,'J2 — SAM 19'!$C$4:$G$4,0))="","",INDEX('J2 — SAM 19'!$C$5:$G$28,6,MATCH($C$5,'J2 — SAM 19'!$C$4:$G$4,0))),"")</f>
        <v/>
      </c>
      <c r="J15" t="str">
        <f>IF(Paramètres!$C$32=$C$5,Paramètres!$B$32,"")</f>
        <v/>
      </c>
    </row>
    <row r="16" spans="2:10" x14ac:dyDescent="0.2">
      <c r="B16" s="41" t="s">
        <v>27</v>
      </c>
      <c r="C16" s="42" t="str">
        <f>IFERROR(IF(INDEX('J1 — VEN 18'!$C$5:$G$28,7,MATCH($C$5,'J1 — VEN 18'!$C$4:$G$4,0))="","",INDEX('J1 — VEN 18'!$C$5:$G$28,7,MATCH($C$5,'J1 — VEN 18'!$C$4:$G$4,0))),"")</f>
        <v/>
      </c>
      <c r="D16" s="42" t="str">
        <f>IFERROR(IF(INDEX('J2 — SAM 19'!$C$5:$G$28,7,MATCH($C$5,'J2 — SAM 19'!$C$4:$G$4,0))="","",INDEX('J2 — SAM 19'!$C$5:$G$28,7,MATCH($C$5,'J2 — SAM 19'!$C$4:$G$4,0))),"")</f>
        <v/>
      </c>
      <c r="J16" t="str">
        <f>IF(Paramètres!$C$33=$C$5,Paramètres!$B$33,"")</f>
        <v/>
      </c>
    </row>
    <row r="17" spans="2:10" x14ac:dyDescent="0.2">
      <c r="B17" s="41" t="s">
        <v>29</v>
      </c>
      <c r="C17" s="42" t="str">
        <f>IFERROR(IF(INDEX('J1 — VEN 18'!$C$5:$G$28,8,MATCH($C$5,'J1 — VEN 18'!$C$4:$G$4,0))="","",INDEX('J1 — VEN 18'!$C$5:$G$28,8,MATCH($C$5,'J1 — VEN 18'!$C$4:$G$4,0))),"")</f>
        <v/>
      </c>
      <c r="D17" s="42" t="str">
        <f>IFERROR(IF(INDEX('J2 — SAM 19'!$C$5:$G$28,8,MATCH($C$5,'J2 — SAM 19'!$C$4:$G$4,0))="","",INDEX('J2 — SAM 19'!$C$5:$G$28,8,MATCH($C$5,'J2 — SAM 19'!$C$4:$G$4,0))),"")</f>
        <v/>
      </c>
      <c r="J17" t="str">
        <f>IF(Paramètres!$C$34=$C$5,Paramètres!$B$34,"")</f>
        <v/>
      </c>
    </row>
    <row r="18" spans="2:10" x14ac:dyDescent="0.2">
      <c r="B18" s="41" t="s">
        <v>31</v>
      </c>
      <c r="C18" s="42" t="str">
        <f>IFERROR(IF(INDEX('J1 — VEN 18'!$C$5:$G$28,9,MATCH($C$5,'J1 — VEN 18'!$C$4:$G$4,0))="","",INDEX('J1 — VEN 18'!$C$5:$G$28,9,MATCH($C$5,'J1 — VEN 18'!$C$4:$G$4,0))),"")</f>
        <v/>
      </c>
      <c r="D18" s="42" t="str">
        <f>IFERROR(IF(INDEX('J2 — SAM 19'!$C$5:$G$28,9,MATCH($C$5,'J2 — SAM 19'!$C$4:$G$4,0))="","",INDEX('J2 — SAM 19'!$C$5:$G$28,9,MATCH($C$5,'J2 — SAM 19'!$C$4:$G$4,0))),"")</f>
        <v/>
      </c>
      <c r="J18" t="str">
        <f>IF(Paramètres!$C$35=$C$5,Paramètres!$B$35,"")</f>
        <v/>
      </c>
    </row>
    <row r="19" spans="2:10" x14ac:dyDescent="0.2">
      <c r="B19" s="41" t="s">
        <v>38</v>
      </c>
      <c r="C19" s="42" t="str">
        <f>IFERROR(IF(INDEX('J1 — VEN 18'!$C$5:$G$28,10,MATCH($C$5,'J1 — VEN 18'!$C$4:$G$4,0))="","",INDEX('J1 — VEN 18'!$C$5:$G$28,10,MATCH($C$5,'J1 — VEN 18'!$C$4:$G$4,0))),"")</f>
        <v/>
      </c>
      <c r="D19" s="42" t="str">
        <f>IFERROR(IF(INDEX('J2 — SAM 19'!$C$5:$G$28,10,MATCH($C$5,'J2 — SAM 19'!$C$4:$G$4,0))="","",INDEX('J2 — SAM 19'!$C$5:$G$28,10,MATCH($C$5,'J2 — SAM 19'!$C$4:$G$4,0))),"")</f>
        <v/>
      </c>
      <c r="J19" t="str">
        <f>IF(Paramètres!$C$36=$C$5,Paramètres!$B$36,"")</f>
        <v/>
      </c>
    </row>
    <row r="20" spans="2:10" x14ac:dyDescent="0.2">
      <c r="B20" s="41" t="s">
        <v>44</v>
      </c>
      <c r="C20" s="42" t="str">
        <f>IFERROR(IF(INDEX('J1 — VEN 18'!$C$5:$G$28,11,MATCH($C$5,'J1 — VEN 18'!$C$4:$G$4,0))="","",INDEX('J1 — VEN 18'!$C$5:$G$28,11,MATCH($C$5,'J1 — VEN 18'!$C$4:$G$4,0))),"")</f>
        <v/>
      </c>
      <c r="D20" s="42" t="str">
        <f>IFERROR(IF(INDEX('J2 — SAM 19'!$C$5:$G$28,11,MATCH($C$5,'J2 — SAM 19'!$C$4:$G$4,0))="","",INDEX('J2 — SAM 19'!$C$5:$G$28,11,MATCH($C$5,'J2 — SAM 19'!$C$4:$G$4,0))),"")</f>
        <v/>
      </c>
      <c r="J20" t="str">
        <f>IF(Paramètres!$C$37=$C$5,Paramètres!$B$37,"")</f>
        <v/>
      </c>
    </row>
    <row r="21" spans="2:10" x14ac:dyDescent="0.2">
      <c r="B21" s="41" t="s">
        <v>50</v>
      </c>
      <c r="C21" s="42" t="str">
        <f>IFERROR(IF(INDEX('J1 — VEN 18'!$C$5:$G$28,12,MATCH($C$5,'J1 — VEN 18'!$C$4:$G$4,0))="","",INDEX('J1 — VEN 18'!$C$5:$G$28,12,MATCH($C$5,'J1 — VEN 18'!$C$4:$G$4,0))),"")</f>
        <v/>
      </c>
      <c r="D21" s="42" t="str">
        <f>IFERROR(IF(INDEX('J2 — SAM 19'!$C$5:$G$28,12,MATCH($C$5,'J2 — SAM 19'!$C$4:$G$4,0))="","",INDEX('J2 — SAM 19'!$C$5:$G$28,12,MATCH($C$5,'J2 — SAM 19'!$C$4:$G$4,0))),"")</f>
        <v/>
      </c>
      <c r="J21" t="str">
        <f>IF(Paramètres!$C$38=$C$5,Paramètres!$B$38,"")</f>
        <v/>
      </c>
    </row>
    <row r="22" spans="2:10" x14ac:dyDescent="0.2">
      <c r="B22" s="41" t="s">
        <v>55</v>
      </c>
      <c r="C22" s="42" t="str">
        <f>IFERROR(IF(INDEX('J1 — VEN 18'!$C$5:$G$28,13,MATCH($C$5,'J1 — VEN 18'!$C$4:$G$4,0))="","",INDEX('J1 — VEN 18'!$C$5:$G$28,13,MATCH($C$5,'J1 — VEN 18'!$C$4:$G$4,0))),"")</f>
        <v/>
      </c>
      <c r="D22" s="42" t="str">
        <f>IFERROR(IF(INDEX('J2 — SAM 19'!$C$5:$G$28,13,MATCH($C$5,'J2 — SAM 19'!$C$4:$G$4,0))="","",INDEX('J2 — SAM 19'!$C$5:$G$28,13,MATCH($C$5,'J2 — SAM 19'!$C$4:$G$4,0))),"")</f>
        <v/>
      </c>
      <c r="J22" t="str">
        <f>IF(Paramètres!$C$39=$C$5,Paramètres!$B$39,"")</f>
        <v/>
      </c>
    </row>
    <row r="23" spans="2:10" x14ac:dyDescent="0.2">
      <c r="B23" s="41" t="s">
        <v>60</v>
      </c>
      <c r="C23" s="42" t="str">
        <f>IFERROR(IF(INDEX('J1 — VEN 18'!$C$5:$G$28,14,MATCH($C$5,'J1 — VEN 18'!$C$4:$G$4,0))="","",INDEX('J1 — VEN 18'!$C$5:$G$28,14,MATCH($C$5,'J1 — VEN 18'!$C$4:$G$4,0))),"")</f>
        <v/>
      </c>
      <c r="D23" s="42" t="str">
        <f>IFERROR(IF(INDEX('J2 — SAM 19'!$C$5:$G$28,14,MATCH($C$5,'J2 — SAM 19'!$C$4:$G$4,0))="","",INDEX('J2 — SAM 19'!$C$5:$G$28,14,MATCH($C$5,'J2 — SAM 19'!$C$4:$G$4,0))),"")</f>
        <v/>
      </c>
      <c r="J23" t="str">
        <f>IF(Paramètres!$C$40=$C$5,Paramètres!$B$40,"")</f>
        <v/>
      </c>
    </row>
    <row r="24" spans="2:10" x14ac:dyDescent="0.2">
      <c r="B24" s="41" t="s">
        <v>61</v>
      </c>
      <c r="C24" s="42" t="str">
        <f>IFERROR(IF(INDEX('J1 — VEN 18'!$C$5:$G$28,15,MATCH($C$5,'J1 — VEN 18'!$C$4:$G$4,0))="","",INDEX('J1 — VEN 18'!$C$5:$G$28,15,MATCH($C$5,'J1 — VEN 18'!$C$4:$G$4,0))),"")</f>
        <v/>
      </c>
      <c r="D24" s="42" t="str">
        <f>IFERROR(IF(INDEX('J2 — SAM 19'!$C$5:$G$28,15,MATCH($C$5,'J2 — SAM 19'!$C$4:$G$4,0))="","",INDEX('J2 — SAM 19'!$C$5:$G$28,15,MATCH($C$5,'J2 — SAM 19'!$C$4:$G$4,0))),"")</f>
        <v/>
      </c>
      <c r="J24" t="str">
        <f>IF(Paramètres!$C$41=$C$5,Paramètres!$B$41,"")</f>
        <v/>
      </c>
    </row>
    <row r="25" spans="2:10" x14ac:dyDescent="0.2">
      <c r="B25" s="41" t="s">
        <v>62</v>
      </c>
      <c r="C25" s="42" t="str">
        <f>IFERROR(IF(INDEX('J1 — VEN 18'!$C$5:$G$28,16,MATCH($C$5,'J1 — VEN 18'!$C$4:$G$4,0))="","",INDEX('J1 — VEN 18'!$C$5:$G$28,16,MATCH($C$5,'J1 — VEN 18'!$C$4:$G$4,0))),"")</f>
        <v/>
      </c>
      <c r="D25" s="42" t="str">
        <f>IFERROR(IF(INDEX('J2 — SAM 19'!$C$5:$G$28,16,MATCH($C$5,'J2 — SAM 19'!$C$4:$G$4,0))="","",INDEX('J2 — SAM 19'!$C$5:$G$28,16,MATCH($C$5,'J2 — SAM 19'!$C$4:$G$4,0))),"")</f>
        <v/>
      </c>
      <c r="J25" t="str">
        <f>IF(Paramètres!$C$42=$C$5,Paramètres!$B$42,"")</f>
        <v/>
      </c>
    </row>
    <row r="26" spans="2:10" x14ac:dyDescent="0.2">
      <c r="B26" s="41" t="s">
        <v>63</v>
      </c>
      <c r="C26" s="42" t="str">
        <f>IFERROR(IF(INDEX('J1 — VEN 18'!$C$5:$G$28,17,MATCH($C$5,'J1 — VEN 18'!$C$4:$G$4,0))="","",INDEX('J1 — VEN 18'!$C$5:$G$28,17,MATCH($C$5,'J1 — VEN 18'!$C$4:$G$4,0))),"")</f>
        <v/>
      </c>
      <c r="D26" s="42" t="str">
        <f>IFERROR(IF(INDEX('J2 — SAM 19'!$C$5:$G$28,17,MATCH($C$5,'J2 — SAM 19'!$C$4:$G$4,0))="","",INDEX('J2 — SAM 19'!$C$5:$G$28,17,MATCH($C$5,'J2 — SAM 19'!$C$4:$G$4,0))),"")</f>
        <v/>
      </c>
      <c r="J26" t="str">
        <f>IF(Paramètres!$C$43=$C$5,Paramètres!$B$43,"")</f>
        <v/>
      </c>
    </row>
    <row r="27" spans="2:10" x14ac:dyDescent="0.2">
      <c r="B27" s="41" t="s">
        <v>64</v>
      </c>
      <c r="C27" s="42" t="str">
        <f>IFERROR(IF(INDEX('J1 — VEN 18'!$C$5:$G$28,18,MATCH($C$5,'J1 — VEN 18'!$C$4:$G$4,0))="","",INDEX('J1 — VEN 18'!$C$5:$G$28,18,MATCH($C$5,'J1 — VEN 18'!$C$4:$G$4,0))),"")</f>
        <v/>
      </c>
      <c r="D27" s="42" t="str">
        <f>IFERROR(IF(INDEX('J2 — SAM 19'!$C$5:$G$28,18,MATCH($C$5,'J2 — SAM 19'!$C$4:$G$4,0))="","",INDEX('J2 — SAM 19'!$C$5:$G$28,18,MATCH($C$5,'J2 — SAM 19'!$C$4:$G$4,0))),"")</f>
        <v/>
      </c>
      <c r="J27" t="str">
        <f>IF(Paramètres!$C$44=$C$5,Paramètres!$B$44,"")</f>
        <v/>
      </c>
    </row>
    <row r="28" spans="2:10" x14ac:dyDescent="0.2">
      <c r="B28" s="41" t="s">
        <v>66</v>
      </c>
      <c r="C28" s="42" t="str">
        <f>IFERROR(IF(INDEX('J1 — VEN 18'!$C$5:$G$28,19,MATCH($C$5,'J1 — VEN 18'!$C$4:$G$4,0))="","",INDEX('J1 — VEN 18'!$C$5:$G$28,19,MATCH($C$5,'J1 — VEN 18'!$C$4:$G$4,0))),"")</f>
        <v/>
      </c>
      <c r="D28" s="42" t="str">
        <f>IFERROR(IF(INDEX('J2 — SAM 19'!$C$5:$G$28,19,MATCH($C$5,'J2 — SAM 19'!$C$4:$G$4,0))="","",INDEX('J2 — SAM 19'!$C$5:$G$28,19,MATCH($C$5,'J2 — SAM 19'!$C$4:$G$4,0))),"")</f>
        <v/>
      </c>
      <c r="J28" t="str">
        <f>IF(Paramètres!$C$45=$C$5,Paramètres!$B$45,"")</f>
        <v/>
      </c>
    </row>
    <row r="29" spans="2:10" x14ac:dyDescent="0.2">
      <c r="B29" s="41" t="s">
        <v>72</v>
      </c>
      <c r="C29" s="42" t="str">
        <f>IFERROR(IF(INDEX('J1 — VEN 18'!$C$5:$G$28,20,MATCH($C$5,'J1 — VEN 18'!$C$4:$G$4,0))="","",INDEX('J1 — VEN 18'!$C$5:$G$28,20,MATCH($C$5,'J1 — VEN 18'!$C$4:$G$4,0))),"")</f>
        <v/>
      </c>
      <c r="D29" s="42" t="str">
        <f>IFERROR(IF(INDEX('J2 — SAM 19'!$C$5:$G$28,20,MATCH($C$5,'J2 — SAM 19'!$C$4:$G$4,0))="","",INDEX('J2 — SAM 19'!$C$5:$G$28,20,MATCH($C$5,'J2 — SAM 19'!$C$4:$G$4,0))),"")</f>
        <v/>
      </c>
      <c r="J29" t="str">
        <f>IF(Paramètres!$C$46=$C$5,Paramètres!$B$46,"")</f>
        <v/>
      </c>
    </row>
    <row r="30" spans="2:10" x14ac:dyDescent="0.2">
      <c r="B30" s="41" t="s">
        <v>74</v>
      </c>
      <c r="C30" s="42" t="str">
        <f>IFERROR(IF(INDEX('J1 — VEN 18'!$C$5:$G$28,21,MATCH($C$5,'J1 — VEN 18'!$C$4:$G$4,0))="","",INDEX('J1 — VEN 18'!$C$5:$G$28,21,MATCH($C$5,'J1 — VEN 18'!$C$4:$G$4,0))),"")</f>
        <v/>
      </c>
      <c r="D30" s="42" t="str">
        <f>IFERROR(IF(INDEX('J2 — SAM 19'!$C$5:$G$28,21,MATCH($C$5,'J2 — SAM 19'!$C$4:$G$4,0))="","",INDEX('J2 — SAM 19'!$C$5:$G$28,21,MATCH($C$5,'J2 — SAM 19'!$C$4:$G$4,0))),"")</f>
        <v/>
      </c>
      <c r="J30" t="str">
        <f>IF(Paramètres!$C$47=$C$5,Paramètres!$B$47,"")</f>
        <v/>
      </c>
    </row>
    <row r="31" spans="2:10" x14ac:dyDescent="0.2">
      <c r="B31" s="41" t="s">
        <v>75</v>
      </c>
      <c r="C31" s="42" t="str">
        <f>IFERROR(IF(INDEX('J1 — VEN 18'!$C$5:$G$28,22,MATCH($C$5,'J1 — VEN 18'!$C$4:$G$4,0))="","",INDEX('J1 — VEN 18'!$C$5:$G$28,22,MATCH($C$5,'J1 — VEN 18'!$C$4:$G$4,0))),"")</f>
        <v/>
      </c>
      <c r="D31" s="42" t="str">
        <f>IFERROR(IF(INDEX('J2 — SAM 19'!$C$5:$G$28,22,MATCH($C$5,'J2 — SAM 19'!$C$4:$G$4,0))="","",INDEX('J2 — SAM 19'!$C$5:$G$28,22,MATCH($C$5,'J2 — SAM 19'!$C$4:$G$4,0))),"")</f>
        <v/>
      </c>
      <c r="J31" t="str">
        <f>IF(Paramètres!$C$48=$C$5,Paramètres!$B$48,"")</f>
        <v/>
      </c>
    </row>
    <row r="32" spans="2:10" x14ac:dyDescent="0.2">
      <c r="B32" s="41" t="s">
        <v>76</v>
      </c>
      <c r="C32" s="42" t="str">
        <f>IFERROR(IF(INDEX('J1 — VEN 18'!$C$5:$G$28,23,MATCH($C$5,'J1 — VEN 18'!$C$4:$G$4,0))="","",INDEX('J1 — VEN 18'!$C$5:$G$28,23,MATCH($C$5,'J1 — VEN 18'!$C$4:$G$4,0))),"")</f>
        <v/>
      </c>
      <c r="D32" s="42" t="str">
        <f>IFERROR(IF(INDEX('J2 — SAM 19'!$C$5:$G$28,23,MATCH($C$5,'J2 — SAM 19'!$C$4:$G$4,0))="","",INDEX('J2 — SAM 19'!$C$5:$G$28,23,MATCH($C$5,'J2 — SAM 19'!$C$4:$G$4,0))),"")</f>
        <v/>
      </c>
      <c r="J32" t="str">
        <f>IF(Paramètres!$C$49=$C$5,Paramètres!$B$49,"")</f>
        <v>Blanche</v>
      </c>
    </row>
    <row r="33" spans="2:4" x14ac:dyDescent="0.2">
      <c r="B33" s="41" t="s">
        <v>78</v>
      </c>
      <c r="C33" s="42" t="str">
        <f>IFERROR(IF(INDEX('J1 — VEN 18'!$C$5:$G$28,24,MATCH($C$5,'J1 — VEN 18'!$C$4:$G$4,0))="","",INDEX('J1 — VEN 18'!$C$5:$G$28,24,MATCH($C$5,'J1 — VEN 18'!$C$4:$G$4,0))),"")</f>
        <v/>
      </c>
      <c r="D33" s="42" t="str">
        <f>IFERROR(IF(INDEX('J2 — SAM 19'!$C$5:$G$28,24,MATCH($C$5,'J2 — SAM 19'!$C$4:$G$4,0))="","",INDEX('J2 — SAM 19'!$C$5:$G$28,24,MATCH($C$5,'J2 — SAM 19'!$C$4:$G$4,0))),"")</f>
        <v/>
      </c>
    </row>
  </sheetData>
  <mergeCells count="3">
    <mergeCell ref="B2:E2"/>
    <mergeCell ref="C4:D4"/>
    <mergeCell ref="C6:G6"/>
  </mergeCells>
  <conditionalFormatting sqref="C10:D33">
    <cfRule type="expression" dxfId="449" priority="2">
      <formula>EXACT(C10,"SÉCU")</formula>
    </cfRule>
    <cfRule type="expression" dxfId="448" priority="3">
      <formula>EXACT(C10,"PLAINE")</formula>
    </cfRule>
    <cfRule type="expression" dxfId="447" priority="4">
      <formula>EXACT(C10,"SURVEILLANCE ACTIVITÉ")</formula>
    </cfRule>
    <cfRule type="expression" dxfId="446" priority="5">
      <formula>EXACT(C10,"PRÉPA OB")</formula>
    </cfRule>
    <cfRule type="expression" dxfId="445" priority="6">
      <formula>EXACT(C10,"REPAS")</formula>
    </cfRule>
    <cfRule type="expression" dxfId="444" priority="7">
      <formula>EXACT(C10,"BUVETTE")</formula>
    </cfRule>
    <cfRule type="expression" dxfId="443" priority="8">
      <formula>EXACT(C10,"NAVETTES")</formula>
    </cfRule>
    <cfRule type="expression" dxfId="442" priority="9">
      <formula>EXACT(C10,"PRÉCHECK")</formula>
    </cfRule>
    <cfRule type="expression" dxfId="441" priority="10">
      <formula>EXACT(C10,"MONTAGE / RANGEMENT")</formula>
    </cfRule>
    <cfRule type="expression" dxfId="440" priority="11">
      <formula>EXACT(C10,"REPOS")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300-000000000000}">
          <x14:formula1>
            <xm:f>Paramètres!$B$26:$B$49</xm:f>
          </x14:formula1>
          <x14:formula2>
            <xm:f>0</xm:f>
          </x14:formula2>
          <xm:sqref>C4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I18"/>
  <sheetViews>
    <sheetView showGridLines="0" zoomScaleNormal="100" workbookViewId="0"/>
  </sheetViews>
  <sheetFormatPr baseColWidth="10" defaultColWidth="8.6640625" defaultRowHeight="15" x14ac:dyDescent="0.2"/>
  <cols>
    <col min="1" max="1" width="2" customWidth="1"/>
    <col min="2" max="2" width="30" customWidth="1"/>
    <col min="3" max="7" width="14" customWidth="1"/>
    <col min="8" max="8" width="12" customWidth="1"/>
  </cols>
  <sheetData>
    <row r="2" spans="2:9" ht="25.5" customHeight="1" x14ac:dyDescent="0.2">
      <c r="B2" s="7" t="s">
        <v>124</v>
      </c>
      <c r="C2" s="7"/>
      <c r="D2" s="7"/>
      <c r="E2" s="7"/>
      <c r="F2" s="7"/>
      <c r="G2" s="7"/>
      <c r="H2" s="7"/>
      <c r="I2" s="7"/>
    </row>
    <row r="3" spans="2:9" x14ac:dyDescent="0.2">
      <c r="B3" s="6" t="s">
        <v>125</v>
      </c>
      <c r="C3" s="6"/>
      <c r="D3" s="6"/>
      <c r="E3" s="6"/>
      <c r="F3" s="6"/>
      <c r="G3" s="6"/>
      <c r="H3" s="6"/>
      <c r="I3" s="6"/>
    </row>
    <row r="5" spans="2:9" x14ac:dyDescent="0.2">
      <c r="B5" s="9" t="s">
        <v>6</v>
      </c>
      <c r="C5" s="43" t="str">
        <f>Paramètres!$B$6</f>
        <v>Équipe 1</v>
      </c>
      <c r="D5" s="43" t="str">
        <f>Paramètres!$B$7</f>
        <v>Équipe 2</v>
      </c>
      <c r="E5" s="43" t="str">
        <f>Paramètres!$B$8</f>
        <v>Équipe 3</v>
      </c>
      <c r="F5" s="43" t="str">
        <f>Paramètres!$B$9</f>
        <v>Équipe 4</v>
      </c>
      <c r="G5" s="43" t="str">
        <f>Paramètres!$B$10</f>
        <v>Équipe 5</v>
      </c>
      <c r="H5" s="9" t="s">
        <v>126</v>
      </c>
    </row>
    <row r="6" spans="2:9" x14ac:dyDescent="0.2">
      <c r="B6" s="13" t="str">
        <f>Paramètres!$G$6</f>
        <v>SÉCU</v>
      </c>
      <c r="C6" s="11">
        <f>COUNTIF('J1 — VEN 18'!C$5:C$28,$B6)+COUNTIF('J2 — SAM 19'!C$5:C$28,$B6)</f>
        <v>3</v>
      </c>
      <c r="D6" s="11">
        <f>COUNTIF('J1 — VEN 18'!D$5:D$28,$B6)+COUNTIF('J2 — SAM 19'!D$5:D$28,$B6)</f>
        <v>4</v>
      </c>
      <c r="E6" s="11">
        <f>COUNTIF('J1 — VEN 18'!E$5:E$28,$B6)+COUNTIF('J2 — SAM 19'!E$5:E$28,$B6)</f>
        <v>4</v>
      </c>
      <c r="F6" s="11">
        <f>COUNTIF('J1 — VEN 18'!F$5:F$28,$B6)+COUNTIF('J2 — SAM 19'!F$5:F$28,$B6)</f>
        <v>5</v>
      </c>
      <c r="G6" s="11">
        <f>COUNTIF('J1 — VEN 18'!G$5:G$28,$B6)+COUNTIF('J2 — SAM 19'!G$5:G$28,$B6)</f>
        <v>5</v>
      </c>
      <c r="H6" s="27">
        <f t="shared" ref="H6:H16" si="0">SUM(C6:G6)</f>
        <v>21</v>
      </c>
    </row>
    <row r="7" spans="2:9" x14ac:dyDescent="0.2">
      <c r="B7" s="16" t="str">
        <f>Paramètres!$G$7</f>
        <v>PLAINE</v>
      </c>
      <c r="C7" s="11">
        <f>COUNTIF('J1 — VEN 18'!C$5:C$28,$B7)+COUNTIF('J2 — SAM 19'!C$5:C$28,$B7)</f>
        <v>3</v>
      </c>
      <c r="D7" s="11">
        <f>COUNTIF('J1 — VEN 18'!D$5:D$28,$B7)+COUNTIF('J2 — SAM 19'!D$5:D$28,$B7)</f>
        <v>7</v>
      </c>
      <c r="E7" s="11">
        <f>COUNTIF('J1 — VEN 18'!E$5:E$28,$B7)+COUNTIF('J2 — SAM 19'!E$5:E$28,$B7)</f>
        <v>1</v>
      </c>
      <c r="F7" s="11">
        <f>COUNTIF('J1 — VEN 18'!F$5:F$28,$B7)+COUNTIF('J2 — SAM 19'!F$5:F$28,$B7)</f>
        <v>0</v>
      </c>
      <c r="G7" s="11">
        <f>COUNTIF('J1 — VEN 18'!G$5:G$28,$B7)+COUNTIF('J2 — SAM 19'!G$5:G$28,$B7)</f>
        <v>0</v>
      </c>
      <c r="H7" s="27">
        <f t="shared" si="0"/>
        <v>11</v>
      </c>
    </row>
    <row r="8" spans="2:9" x14ac:dyDescent="0.2">
      <c r="B8" s="17" t="str">
        <f>Paramètres!$G$8</f>
        <v>SURVEILLANCE ACTIVITÉ</v>
      </c>
      <c r="C8" s="11">
        <f>COUNTIF('J1 — VEN 18'!C$5:C$28,$B8)+COUNTIF('J2 — SAM 19'!C$5:C$28,$B8)</f>
        <v>5</v>
      </c>
      <c r="D8" s="11">
        <f>COUNTIF('J1 — VEN 18'!D$5:D$28,$B8)+COUNTIF('J2 — SAM 19'!D$5:D$28,$B8)</f>
        <v>3</v>
      </c>
      <c r="E8" s="11">
        <f>COUNTIF('J1 — VEN 18'!E$5:E$28,$B8)+COUNTIF('J2 — SAM 19'!E$5:E$28,$B8)</f>
        <v>7</v>
      </c>
      <c r="F8" s="11">
        <f>COUNTIF('J1 — VEN 18'!F$5:F$28,$B8)+COUNTIF('J2 — SAM 19'!F$5:F$28,$B8)</f>
        <v>3</v>
      </c>
      <c r="G8" s="11">
        <f>COUNTIF('J1 — VEN 18'!G$5:G$28,$B8)+COUNTIF('J2 — SAM 19'!G$5:G$28,$B8)</f>
        <v>4</v>
      </c>
      <c r="H8" s="27">
        <f t="shared" si="0"/>
        <v>22</v>
      </c>
    </row>
    <row r="9" spans="2:9" x14ac:dyDescent="0.2">
      <c r="B9" s="18" t="str">
        <f>Paramètres!$G$9</f>
        <v>PRÉPA OB</v>
      </c>
      <c r="C9" s="11">
        <f>COUNTIF('J1 — VEN 18'!C$5:C$28,$B9)+COUNTIF('J2 — SAM 19'!C$5:C$28,$B9)</f>
        <v>4</v>
      </c>
      <c r="D9" s="11">
        <f>COUNTIF('J1 — VEN 18'!D$5:D$28,$B9)+COUNTIF('J2 — SAM 19'!D$5:D$28,$B9)</f>
        <v>2</v>
      </c>
      <c r="E9" s="11">
        <f>COUNTIF('J1 — VEN 18'!E$5:E$28,$B9)+COUNTIF('J2 — SAM 19'!E$5:E$28,$B9)</f>
        <v>0</v>
      </c>
      <c r="F9" s="11">
        <f>COUNTIF('J1 — VEN 18'!F$5:F$28,$B9)+COUNTIF('J2 — SAM 19'!F$5:F$28,$B9)</f>
        <v>0</v>
      </c>
      <c r="G9" s="11">
        <f>COUNTIF('J1 — VEN 18'!G$5:G$28,$B9)+COUNTIF('J2 — SAM 19'!G$5:G$28,$B9)</f>
        <v>2</v>
      </c>
      <c r="H9" s="27">
        <f t="shared" si="0"/>
        <v>8</v>
      </c>
    </row>
    <row r="10" spans="2:9" x14ac:dyDescent="0.2">
      <c r="B10" s="19" t="str">
        <f>Paramètres!$G$10</f>
        <v>REPAS</v>
      </c>
      <c r="C10" s="11">
        <f>COUNTIF('J1 — VEN 18'!C$5:C$28,$B10)+COUNTIF('J2 — SAM 19'!C$5:C$28,$B10)</f>
        <v>2</v>
      </c>
      <c r="D10" s="11">
        <f>COUNTIF('J1 — VEN 18'!D$5:D$28,$B10)+COUNTIF('J2 — SAM 19'!D$5:D$28,$B10)</f>
        <v>0</v>
      </c>
      <c r="E10" s="11">
        <f>COUNTIF('J1 — VEN 18'!E$5:E$28,$B10)+COUNTIF('J2 — SAM 19'!E$5:E$28,$B10)</f>
        <v>3</v>
      </c>
      <c r="F10" s="11">
        <f>COUNTIF('J1 — VEN 18'!F$5:F$28,$B10)+COUNTIF('J2 — SAM 19'!F$5:F$28,$B10)</f>
        <v>3</v>
      </c>
      <c r="G10" s="11">
        <f>COUNTIF('J1 — VEN 18'!G$5:G$28,$B10)+COUNTIF('J2 — SAM 19'!G$5:G$28,$B10)</f>
        <v>4</v>
      </c>
      <c r="H10" s="27">
        <f t="shared" si="0"/>
        <v>12</v>
      </c>
    </row>
    <row r="11" spans="2:9" x14ac:dyDescent="0.2">
      <c r="B11" s="20" t="str">
        <f>Paramètres!$G$11</f>
        <v>BUVETTE</v>
      </c>
      <c r="C11" s="11">
        <f>COUNTIF('J1 — VEN 18'!C$5:C$28,$B11)+COUNTIF('J2 — SAM 19'!C$5:C$28,$B11)</f>
        <v>0</v>
      </c>
      <c r="D11" s="11">
        <f>COUNTIF('J1 — VEN 18'!D$5:D$28,$B11)+COUNTIF('J2 — SAM 19'!D$5:D$28,$B11)</f>
        <v>0</v>
      </c>
      <c r="E11" s="11">
        <f>COUNTIF('J1 — VEN 18'!E$5:E$28,$B11)+COUNTIF('J2 — SAM 19'!E$5:E$28,$B11)</f>
        <v>0</v>
      </c>
      <c r="F11" s="11">
        <f>COUNTIF('J1 — VEN 18'!F$5:F$28,$B11)+COUNTIF('J2 — SAM 19'!F$5:F$28,$B11)</f>
        <v>0</v>
      </c>
      <c r="G11" s="11">
        <f>COUNTIF('J1 — VEN 18'!G$5:G$28,$B11)+COUNTIF('J2 — SAM 19'!G$5:G$28,$B11)</f>
        <v>1</v>
      </c>
      <c r="H11" s="27">
        <f t="shared" si="0"/>
        <v>1</v>
      </c>
    </row>
    <row r="12" spans="2:9" x14ac:dyDescent="0.2">
      <c r="B12" s="21" t="str">
        <f>Paramètres!$G$12</f>
        <v>NAVETTES</v>
      </c>
      <c r="C12" s="11">
        <f>COUNTIF('J1 — VEN 18'!C$5:C$28,$B12)+COUNTIF('J2 — SAM 19'!C$5:C$28,$B12)</f>
        <v>1</v>
      </c>
      <c r="D12" s="11">
        <f>COUNTIF('J1 — VEN 18'!D$5:D$28,$B12)+COUNTIF('J2 — SAM 19'!D$5:D$28,$B12)</f>
        <v>0</v>
      </c>
      <c r="E12" s="11">
        <f>COUNTIF('J1 — VEN 18'!E$5:E$28,$B12)+COUNTIF('J2 — SAM 19'!E$5:E$28,$B12)</f>
        <v>2</v>
      </c>
      <c r="F12" s="11">
        <f>COUNTIF('J1 — VEN 18'!F$5:F$28,$B12)+COUNTIF('J2 — SAM 19'!F$5:F$28,$B12)</f>
        <v>1</v>
      </c>
      <c r="G12" s="11">
        <f>COUNTIF('J1 — VEN 18'!G$5:G$28,$B12)+COUNTIF('J2 — SAM 19'!G$5:G$28,$B12)</f>
        <v>2</v>
      </c>
      <c r="H12" s="27">
        <f t="shared" si="0"/>
        <v>6</v>
      </c>
    </row>
    <row r="13" spans="2:9" x14ac:dyDescent="0.2">
      <c r="B13" s="22" t="str">
        <f>Paramètres!$G$13</f>
        <v>PRÉCHECK</v>
      </c>
      <c r="C13" s="11">
        <f>COUNTIF('J1 — VEN 18'!C$5:C$28,$B13)+COUNTIF('J2 — SAM 19'!C$5:C$28,$B13)</f>
        <v>2</v>
      </c>
      <c r="D13" s="11">
        <f>COUNTIF('J1 — VEN 18'!D$5:D$28,$B13)+COUNTIF('J2 — SAM 19'!D$5:D$28,$B13)</f>
        <v>2</v>
      </c>
      <c r="E13" s="11">
        <f>COUNTIF('J1 — VEN 18'!E$5:E$28,$B13)+COUNTIF('J2 — SAM 19'!E$5:E$28,$B13)</f>
        <v>2</v>
      </c>
      <c r="F13" s="11">
        <f>COUNTIF('J1 — VEN 18'!F$5:F$28,$B13)+COUNTIF('J2 — SAM 19'!F$5:F$28,$B13)</f>
        <v>2</v>
      </c>
      <c r="G13" s="11">
        <f>COUNTIF('J1 — VEN 18'!G$5:G$28,$B13)+COUNTIF('J2 — SAM 19'!G$5:G$28,$B13)</f>
        <v>2</v>
      </c>
      <c r="H13" s="27">
        <f t="shared" si="0"/>
        <v>10</v>
      </c>
    </row>
    <row r="14" spans="2:9" x14ac:dyDescent="0.2">
      <c r="B14" s="23" t="str">
        <f>Paramètres!$G$19</f>
        <v>MONTAGE / RANGEMENT</v>
      </c>
      <c r="C14" s="11">
        <f>COUNTIF('J1 — VEN 18'!C$5:C$28,$B14)+COUNTIF('J2 — SAM 19'!C$5:C$28,$B14)</f>
        <v>2</v>
      </c>
      <c r="D14" s="11">
        <f>COUNTIF('J1 — VEN 18'!D$5:D$28,$B14)+COUNTIF('J2 — SAM 19'!D$5:D$28,$B14)</f>
        <v>2</v>
      </c>
      <c r="E14" s="11">
        <f>COUNTIF('J1 — VEN 18'!E$5:E$28,$B14)+COUNTIF('J2 — SAM 19'!E$5:E$28,$B14)</f>
        <v>1</v>
      </c>
      <c r="F14" s="11">
        <f>COUNTIF('J1 — VEN 18'!F$5:F$28,$B14)+COUNTIF('J2 — SAM 19'!F$5:F$28,$B14)</f>
        <v>1</v>
      </c>
      <c r="G14" s="11">
        <f>COUNTIF('J1 — VEN 18'!G$5:G$28,$B14)+COUNTIF('J2 — SAM 19'!G$5:G$28,$B14)</f>
        <v>1</v>
      </c>
      <c r="H14" s="27">
        <f t="shared" si="0"/>
        <v>7</v>
      </c>
    </row>
    <row r="15" spans="2:9" x14ac:dyDescent="0.2">
      <c r="B15" s="25" t="str">
        <f>Paramètres!$G$20</f>
        <v>REPOS</v>
      </c>
      <c r="C15" s="11">
        <f>COUNTIF('J1 — VEN 18'!C$5:C$28,$B15)+COUNTIF('J2 — SAM 19'!C$5:C$28,$B15)</f>
        <v>11</v>
      </c>
      <c r="D15" s="11">
        <f>COUNTIF('J1 — VEN 18'!D$5:D$28,$B15)+COUNTIF('J2 — SAM 19'!D$5:D$28,$B15)</f>
        <v>10</v>
      </c>
      <c r="E15" s="11">
        <f>COUNTIF('J1 — VEN 18'!E$5:E$28,$B15)+COUNTIF('J2 — SAM 19'!E$5:E$28,$B15)</f>
        <v>6</v>
      </c>
      <c r="F15" s="11">
        <f>COUNTIF('J1 — VEN 18'!F$5:F$28,$B15)+COUNTIF('J2 — SAM 19'!F$5:F$28,$B15)</f>
        <v>10</v>
      </c>
      <c r="G15" s="11">
        <f>COUNTIF('J1 — VEN 18'!G$5:G$28,$B15)+COUNTIF('J2 — SAM 19'!G$5:G$28,$B15)</f>
        <v>9</v>
      </c>
      <c r="H15" s="27">
        <f t="shared" si="0"/>
        <v>46</v>
      </c>
    </row>
    <row r="16" spans="2:9" x14ac:dyDescent="0.2">
      <c r="B16" s="44" t="s">
        <v>127</v>
      </c>
      <c r="C16" s="45">
        <f>SUM(C6:C15)-C15</f>
        <v>22</v>
      </c>
      <c r="D16" s="45">
        <f>SUM(D6:D15)-D15</f>
        <v>20</v>
      </c>
      <c r="E16" s="45">
        <f>SUM(E6:E15)-E15</f>
        <v>20</v>
      </c>
      <c r="F16" s="45">
        <f>SUM(F6:F15)-F15</f>
        <v>15</v>
      </c>
      <c r="G16" s="45">
        <f>SUM(G6:G15)-G15</f>
        <v>21</v>
      </c>
      <c r="H16" s="46">
        <f t="shared" si="0"/>
        <v>98</v>
      </c>
    </row>
    <row r="18" spans="2:5" x14ac:dyDescent="0.2">
      <c r="B18" s="3" t="s">
        <v>128</v>
      </c>
      <c r="C18" s="3"/>
      <c r="D18" s="3"/>
      <c r="E18" s="47">
        <f>MAX(C16:G16)-MIN(C16:G16)</f>
        <v>7</v>
      </c>
    </row>
  </sheetData>
  <mergeCells count="3">
    <mergeCell ref="B2:I2"/>
    <mergeCell ref="B3:I3"/>
    <mergeCell ref="B18:D1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2</vt:i4>
      </vt:variant>
    </vt:vector>
  </HeadingPairs>
  <TitlesOfParts>
    <vt:vector size="7" baseType="lpstr">
      <vt:lpstr>Paramètres</vt:lpstr>
      <vt:lpstr>J1 — VEN 18</vt:lpstr>
      <vt:lpstr>J2 — SAM 19</vt:lpstr>
      <vt:lpstr>Fiche individuelle</vt:lpstr>
      <vt:lpstr>Récap équilibre</vt:lpstr>
      <vt:lpstr>'J1 — VEN 18'!Impression_des_titres</vt:lpstr>
      <vt:lpstr>'J2 — SAM 19'!Impression_des_titres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GONÇALVES Hugo</cp:lastModifiedBy>
  <cp:revision>0</cp:revision>
  <dcterms:created xsi:type="dcterms:W3CDTF">2026-09-15T09:01:58Z</dcterms:created>
  <dcterms:modified xsi:type="dcterms:W3CDTF">2026-09-16T07:42:03Z</dcterms:modified>
  <dc:language>en-US</dc:language>
</cp:coreProperties>
</file>